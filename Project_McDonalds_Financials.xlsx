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Financials" sheetId="2" state="visible" r:id="rId4"/>
    <sheet name="Segments_UE" sheetId="3" state="visible" r:id="rId5"/>
    <sheet name="Capital_Allocation" sheetId="4" state="visible" r:id="rId6"/>
    <sheet name="Sources_Gap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<sst xmlns="http://schemas.openxmlformats.org/spreadsheetml/2006/main" count="280" uniqueCount="192">
  <si>
    <t xml:space="preserve">Project McDonald's</t>
  </si>
  <si>
    <r>
      <rPr>
        <b val="true"/>
        <sz val="12"/>
        <color rgb="FF0000FF"/>
        <rFont val="Arial"/>
        <family val="0"/>
        <charset val="1"/>
      </rPr>
      <t xml:space="preserve">McDonald's Corporation (NYSE: MCD) </t>
    </r>
    <r>
      <rPr>
        <b val="true"/>
        <sz val="12"/>
        <color rgb="FF0000FF"/>
        <rFont val="WenQuanYi Zen Hei"/>
        <family val="2"/>
      </rPr>
      <t xml:space="preserve">财务指标与单位经济</t>
    </r>
  </si>
  <si>
    <t xml:space="preserve">（美元百万，除非另有说明）</t>
  </si>
  <si>
    <r>
      <rPr>
        <i val="true"/>
        <sz val="8"/>
        <color rgb="FF808080"/>
        <rFont val="WenQuanYi Zen Hei"/>
        <family val="2"/>
      </rPr>
      <t xml:space="preserve">编制日期：</t>
    </r>
    <r>
      <rPr>
        <i val="true"/>
        <sz val="8"/>
        <color rgb="FF808080"/>
        <rFont val="Arial"/>
        <family val="0"/>
        <charset val="1"/>
      </rPr>
      <t xml:space="preserve">2026-10-14</t>
    </r>
    <r>
      <rPr>
        <i val="true"/>
        <sz val="8"/>
        <color rgb="FF808080"/>
        <rFont val="WenQuanYi Zen Hei"/>
        <family val="2"/>
      </rPr>
      <t xml:space="preserve">；数据截止 </t>
    </r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年报（</t>
    </r>
    <r>
      <rPr>
        <i val="true"/>
        <sz val="8"/>
        <color rgb="FF808080"/>
        <rFont val="Arial"/>
        <family val="0"/>
        <charset val="1"/>
      </rPr>
      <t xml:space="preserve">FY2026 Q2 </t>
    </r>
    <r>
      <rPr>
        <i val="true"/>
        <sz val="8"/>
        <color rgb="FF808080"/>
        <rFont val="WenQuanYi Zen Hei"/>
        <family val="2"/>
      </rPr>
      <t xml:space="preserve">仅用于文字说明，未纳入表格）</t>
    </r>
  </si>
  <si>
    <t xml:space="preserve">数据状态</t>
  </si>
  <si>
    <r>
      <rPr>
        <sz val="9"/>
        <color rgb="FFC00000"/>
        <rFont val="WenQuanYi Zen Hei"/>
        <family val="2"/>
      </rPr>
      <t xml:space="preserve">本表数据均来自搜索摘要，未直接读取 </t>
    </r>
    <r>
      <rPr>
        <sz val="9"/>
        <color rgb="FFC00000"/>
        <rFont val="Arial"/>
        <family val="0"/>
        <charset val="1"/>
      </rPr>
      <t xml:space="preserve">SEC </t>
    </r>
    <r>
      <rPr>
        <sz val="9"/>
        <color rgb="FFC00000"/>
        <rFont val="WenQuanYi Zen Hei"/>
        <family val="2"/>
      </rPr>
      <t xml:space="preserve">原文；二手或推算数字已在各表标注“待核”或“推算”。</t>
    </r>
  </si>
  <si>
    <r>
      <rPr>
        <sz val="9"/>
        <color rgb="FFC00000"/>
        <rFont val="Arial"/>
        <family val="0"/>
        <charset val="1"/>
      </rPr>
      <t xml:space="preserve">n.a. </t>
    </r>
    <r>
      <rPr>
        <sz val="9"/>
        <color rgb="FFC00000"/>
        <rFont val="WenQuanYi Zen Hei"/>
        <family val="2"/>
      </rPr>
      <t xml:space="preserve">表示本次未取得经验证数据，未做估算。缺口清单见 </t>
    </r>
    <r>
      <rPr>
        <sz val="9"/>
        <color rgb="FFC00000"/>
        <rFont val="Arial"/>
        <family val="0"/>
        <charset val="1"/>
      </rPr>
      <t xml:space="preserve">Sources_Gaps</t>
    </r>
    <r>
      <rPr>
        <sz val="9"/>
        <color rgb="FFC00000"/>
        <rFont val="WenQuanYi Zen Hei"/>
        <family val="2"/>
      </rPr>
      <t xml:space="preserve">。</t>
    </r>
  </si>
  <si>
    <t xml:space="preserve">颜色图例</t>
  </si>
  <si>
    <t xml:space="preserve">蓝字</t>
  </si>
  <si>
    <t xml:space="preserve">硬编码输入：来自披露或第三方的原值</t>
  </si>
  <si>
    <t xml:space="preserve">黑字</t>
  </si>
  <si>
    <t xml:space="preserve">公式计算：合计、比率、增速等派生指标</t>
  </si>
  <si>
    <t xml:space="preserve">绿字</t>
  </si>
  <si>
    <r>
      <rPr>
        <sz val="9"/>
        <color rgb="FF000000"/>
        <rFont val="WenQuanYi Zen Hei"/>
        <family val="2"/>
      </rPr>
      <t xml:space="preserve">跨表引用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超链接</t>
    </r>
  </si>
  <si>
    <t xml:space="preserve">红字</t>
  </si>
  <si>
    <t xml:space="preserve">警示：待核、二手数据或与披露不符之处</t>
  </si>
  <si>
    <t xml:space="preserve">工作表索引</t>
  </si>
  <si>
    <t xml:space="preserve">Financials</t>
  </si>
  <si>
    <r>
      <rPr>
        <sz val="9"/>
        <color rgb="FF000000"/>
        <rFont val="WenQuanYi Zen Hei"/>
        <family val="2"/>
      </rPr>
      <t xml:space="preserve">主要财务指标（</t>
    </r>
    <r>
      <rPr>
        <sz val="9"/>
        <color rgb="FF000000"/>
        <rFont val="Arial"/>
        <family val="0"/>
        <charset val="1"/>
      </rPr>
      <t xml:space="preserve">FY2019–FY2025</t>
    </r>
    <r>
      <rPr>
        <sz val="9"/>
        <color rgb="FF000000"/>
        <rFont val="WenQuanYi Zen Hei"/>
        <family val="2"/>
      </rPr>
      <t xml:space="preserve">）：净利润、</t>
    </r>
    <r>
      <rPr>
        <sz val="9"/>
        <color rgb="FF000000"/>
        <rFont val="Arial"/>
        <family val="0"/>
        <charset val="1"/>
      </rPr>
      <t xml:space="preserve">EPS</t>
    </r>
    <r>
      <rPr>
        <sz val="9"/>
        <color rgb="FF000000"/>
        <rFont val="WenQuanYi Zen Hei"/>
        <family val="2"/>
      </rPr>
      <t xml:space="preserve">、</t>
    </r>
    <r>
      <rPr>
        <sz val="9"/>
        <color rgb="FF000000"/>
        <rFont val="Arial"/>
        <family val="0"/>
        <charset val="1"/>
      </rPr>
      <t xml:space="preserve">DPS</t>
    </r>
    <r>
      <rPr>
        <sz val="9"/>
        <color rgb="FF000000"/>
        <rFont val="WenQuanYi Zen Hei"/>
        <family val="2"/>
      </rPr>
      <t xml:space="preserve">、派息率、现金流</t>
    </r>
  </si>
  <si>
    <t xml:space="preserve">Segments_UE</t>
  </si>
  <si>
    <t xml:space="preserve">收入结构、餐厅利润、单位经济（推算）</t>
  </si>
  <si>
    <t xml:space="preserve">Capital_Allocation</t>
  </si>
  <si>
    <t xml:space="preserve">自由现金流、股东回报、债务</t>
  </si>
  <si>
    <t xml:space="preserve">Sources_Gaps</t>
  </si>
  <si>
    <t xml:space="preserve">数据来源、核对状态与缺口</t>
  </si>
  <si>
    <r>
      <rPr>
        <b val="true"/>
        <sz val="12"/>
        <color rgb="FF0000FF"/>
        <rFont val="WenQuanYi Zen Hei"/>
        <family val="2"/>
      </rPr>
      <t xml:space="preserve">主要财务指标（</t>
    </r>
    <r>
      <rPr>
        <b val="true"/>
        <sz val="12"/>
        <color rgb="FF0000FF"/>
        <rFont val="Arial"/>
        <family val="0"/>
        <charset val="1"/>
      </rPr>
      <t xml:space="preserve">FY2019–FY2025</t>
    </r>
    <r>
      <rPr>
        <b val="true"/>
        <sz val="12"/>
        <color rgb="FF0000FF"/>
        <rFont val="WenQuanYi Zen Hei"/>
        <family val="2"/>
      </rPr>
      <t xml:space="preserve">）</t>
    </r>
  </si>
  <si>
    <t xml:space="preserve">（美元百万，每股数据为美元；除非另有说明）</t>
  </si>
  <si>
    <r>
      <rPr>
        <i val="true"/>
        <sz val="8"/>
        <color rgb="FF808080"/>
        <rFont val="WenQuanYi Zen Hei"/>
        <family val="2"/>
      </rPr>
      <t xml:space="preserve">资料来源：</t>
    </r>
    <r>
      <rPr>
        <i val="true"/>
        <sz val="8"/>
        <color rgb="FF808080"/>
        <rFont val="Arial"/>
        <family val="0"/>
        <charset val="1"/>
      </rPr>
      <t xml:space="preserve">McDonald's 10-K / 8-K</t>
    </r>
    <r>
      <rPr>
        <i val="true"/>
        <sz val="8"/>
        <color rgb="FF808080"/>
        <rFont val="WenQuanYi Zen Hei"/>
        <family val="2"/>
      </rPr>
      <t xml:space="preserve">（经搜索摘要引述）及第三方汇总；逐项状态见 </t>
    </r>
    <r>
      <rPr>
        <i val="true"/>
        <sz val="8"/>
        <color rgb="FF808080"/>
        <rFont val="Arial"/>
        <family val="0"/>
        <charset val="1"/>
      </rPr>
      <t xml:space="preserve">Sources_Gaps</t>
    </r>
  </si>
  <si>
    <t xml:space="preserve">主要财务指标</t>
  </si>
  <si>
    <t xml:space="preserve">项目</t>
  </si>
  <si>
    <t xml:space="preserve">2019A</t>
  </si>
  <si>
    <t xml:space="preserve">2020A</t>
  </si>
  <si>
    <t xml:space="preserve">2021A</t>
  </si>
  <si>
    <t xml:space="preserve">2022A</t>
  </si>
  <si>
    <t xml:space="preserve">2023A</t>
  </si>
  <si>
    <t xml:space="preserve">2024A</t>
  </si>
  <si>
    <t xml:space="preserve">2025A</t>
  </si>
  <si>
    <r>
      <rPr>
        <b val="true"/>
        <sz val="9"/>
        <color rgb="FF000000"/>
        <rFont val="WenQuanYi Zen Hei"/>
        <family val="2"/>
      </rPr>
      <t xml:space="preserve">状态 </t>
    </r>
    <r>
      <rPr>
        <b val="true"/>
        <sz val="9"/>
        <color rgb="FF000000"/>
        <rFont val="Arial"/>
        <family val="0"/>
        <charset val="1"/>
      </rPr>
      <t xml:space="preserve">/ </t>
    </r>
    <r>
      <rPr>
        <b val="true"/>
        <sz val="9"/>
        <color rgb="FF000000"/>
        <rFont val="WenQuanYi Zen Hei"/>
        <family val="2"/>
      </rPr>
      <t xml:space="preserve">备注</t>
    </r>
  </si>
  <si>
    <t xml:space="preserve">利润与每股指标</t>
  </si>
  <si>
    <t xml:space="preserve">  净利润</t>
  </si>
  <si>
    <r>
      <rPr>
        <i val="true"/>
        <sz val="8"/>
        <color rgb="FF808080"/>
        <rFont val="Arial"/>
        <family val="0"/>
        <charset val="1"/>
      </rPr>
      <t xml:space="preserve">2022-2025 </t>
    </r>
    <r>
      <rPr>
        <i val="true"/>
        <sz val="8"/>
        <color rgb="FF808080"/>
        <rFont val="WenQuanYi Zen Hei"/>
        <family val="2"/>
      </rPr>
      <t xml:space="preserve">与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一致（</t>
    </r>
    <r>
      <rPr>
        <i val="true"/>
        <sz val="8"/>
        <color rgb="FF808080"/>
        <rFont val="Arial"/>
        <family val="0"/>
        <charset val="1"/>
      </rPr>
      <t xml:space="preserve">2022-24 </t>
    </r>
    <r>
      <rPr>
        <i val="true"/>
        <sz val="8"/>
        <color rgb="FF808080"/>
        <rFont val="WenQuanYi Zen Hei"/>
        <family val="2"/>
      </rPr>
      <t xml:space="preserve">引自 </t>
    </r>
    <r>
      <rPr>
        <i val="true"/>
        <sz val="8"/>
        <color rgb="FF808080"/>
        <rFont val="Arial"/>
        <family val="0"/>
        <charset val="1"/>
      </rPr>
      <t xml:space="preserve">FY2024 10-K</t>
    </r>
    <r>
      <rPr>
        <i val="true"/>
        <sz val="8"/>
        <color rgb="FF808080"/>
        <rFont val="WenQuanYi Zen Hei"/>
        <family val="2"/>
      </rPr>
      <t xml:space="preserve">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引自 </t>
    </r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财报）；</t>
    </r>
    <r>
      <rPr>
        <i val="true"/>
        <sz val="8"/>
        <color rgb="FF808080"/>
        <rFont val="Arial"/>
        <family val="0"/>
        <charset val="1"/>
      </rPr>
      <t xml:space="preserve">2019-21 </t>
    </r>
    <r>
      <rPr>
        <i val="true"/>
        <sz val="8"/>
        <color rgb="FF808080"/>
        <rFont val="WenQuanYi Zen Hei"/>
        <family val="2"/>
      </rPr>
      <t xml:space="preserve">为 </t>
    </r>
    <r>
      <rPr>
        <i val="true"/>
        <sz val="8"/>
        <color rgb="FF808080"/>
        <rFont val="Arial"/>
        <family val="0"/>
        <charset val="1"/>
      </rPr>
      <t xml:space="preserve">Macrotrends/Finboard </t>
    </r>
    <r>
      <rPr>
        <i val="true"/>
        <sz val="8"/>
        <color rgb="FF808080"/>
        <rFont val="WenQuanYi Zen Hei"/>
        <family val="2"/>
      </rPr>
      <t xml:space="preserve">汇总，待核</t>
    </r>
  </si>
  <si>
    <t xml:space="preserve">    同比增长</t>
  </si>
  <si>
    <t xml:space="preserve">n.a.</t>
  </si>
  <si>
    <r>
      <rPr>
        <sz val="9"/>
        <color rgb="FF000000"/>
        <rFont val="WenQuanYi Zen Hei"/>
        <family val="2"/>
      </rPr>
      <t xml:space="preserve">  摊薄 </t>
    </r>
    <r>
      <rPr>
        <sz val="9"/>
        <color rgb="FF000000"/>
        <rFont val="Arial"/>
        <family val="0"/>
        <charset val="1"/>
      </rPr>
      <t xml:space="preserve">EPS</t>
    </r>
    <r>
      <rPr>
        <sz val="9"/>
        <color rgb="FF000000"/>
        <rFont val="WenQuanYi Zen Hei"/>
        <family val="2"/>
      </rPr>
      <t xml:space="preserve">（美元）</t>
    </r>
  </si>
  <si>
    <r>
      <rPr>
        <i val="true"/>
        <sz val="8"/>
        <color rgb="FF808080"/>
        <rFont val="Arial"/>
        <family val="0"/>
        <charset val="1"/>
      </rPr>
      <t xml:space="preserve">2023=8-K </t>
    </r>
    <r>
      <rPr>
        <i val="true"/>
        <sz val="8"/>
        <color rgb="FF808080"/>
        <rFont val="WenQuanYi Zen Hei"/>
        <family val="2"/>
      </rPr>
      <t xml:space="preserve">已验证；</t>
    </r>
    <r>
      <rPr>
        <i val="true"/>
        <sz val="8"/>
        <color rgb="FF808080"/>
        <rFont val="Arial"/>
        <family val="0"/>
        <charset val="1"/>
      </rPr>
      <t xml:space="preserve">2025=</t>
    </r>
    <r>
      <rPr>
        <i val="true"/>
        <sz val="8"/>
        <color rgb="FF808080"/>
        <rFont val="WenQuanYi Zen Hei"/>
        <family val="2"/>
      </rPr>
      <t xml:space="preserve">财报已验证；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为 </t>
    </r>
    <r>
      <rPr>
        <i val="true"/>
        <sz val="8"/>
        <color rgb="FF808080"/>
        <rFont val="Arial"/>
        <family val="0"/>
        <charset val="1"/>
      </rPr>
      <t xml:space="preserve">MarketScreener </t>
    </r>
    <r>
      <rPr>
        <i val="true"/>
        <sz val="8"/>
        <color rgb="FF808080"/>
        <rFont val="WenQuanYi Zen Hei"/>
        <family val="2"/>
      </rPr>
      <t xml:space="preserve">值（与 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财报同比 </t>
    </r>
    <r>
      <rPr>
        <i val="true"/>
        <sz val="8"/>
        <color rgb="FF808080"/>
        <rFont val="Arial"/>
        <family val="0"/>
        <charset val="1"/>
      </rPr>
      <t xml:space="preserve">+5% </t>
    </r>
    <r>
      <rPr>
        <i val="true"/>
        <sz val="8"/>
        <color rgb="FF808080"/>
        <rFont val="WenQuanYi Zen Hei"/>
        <family val="2"/>
      </rPr>
      <t xml:space="preserve">吻合）；</t>
    </r>
    <r>
      <rPr>
        <i val="true"/>
        <sz val="8"/>
        <color rgb="FF808080"/>
        <rFont val="Arial"/>
        <family val="0"/>
        <charset val="1"/>
      </rPr>
      <t xml:space="preserve">2020-22 </t>
    </r>
    <r>
      <rPr>
        <i val="true"/>
        <sz val="8"/>
        <color rgb="FF808080"/>
        <rFont val="WenQuanYi Zen Hei"/>
        <family val="2"/>
      </rPr>
      <t xml:space="preserve">为第三方，待核；</t>
    </r>
    <r>
      <rPr>
        <i val="true"/>
        <sz val="8"/>
        <color rgb="FF808080"/>
        <rFont val="Arial"/>
        <family val="0"/>
        <charset val="1"/>
      </rPr>
      <t xml:space="preserve">2019 </t>
    </r>
    <r>
      <rPr>
        <i val="true"/>
        <sz val="8"/>
        <color rgb="FF808080"/>
        <rFont val="WenQuanYi Zen Hei"/>
        <family val="2"/>
      </rPr>
      <t xml:space="preserve">未取得</t>
    </r>
  </si>
  <si>
    <r>
      <rPr>
        <sz val="9"/>
        <color rgb="FF000000"/>
        <rFont val="Arial"/>
        <family val="0"/>
        <charset val="1"/>
      </rPr>
      <t xml:space="preserve">  2025 </t>
    </r>
    <r>
      <rPr>
        <sz val="9"/>
        <color rgb="FF000000"/>
        <rFont val="WenQuanYi Zen Hei"/>
        <family val="2"/>
      </rPr>
      <t xml:space="preserve">季度股息 </t>
    </r>
    <r>
      <rPr>
        <sz val="9"/>
        <color rgb="FF000000"/>
        <rFont val="Arial"/>
        <family val="0"/>
        <charset val="1"/>
      </rPr>
      <t xml:space="preserve">Q1–Q3</t>
    </r>
    <r>
      <rPr>
        <sz val="9"/>
        <color rgb="FF000000"/>
        <rFont val="WenQuanYi Zen Hei"/>
        <family val="2"/>
      </rPr>
      <t xml:space="preserve">（美元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季）</t>
    </r>
  </si>
  <si>
    <r>
      <rPr>
        <i val="true"/>
        <sz val="8"/>
        <color rgb="FF808080"/>
        <rFont val="WenQuanYi Zen Hei"/>
        <family val="2"/>
      </rPr>
      <t xml:space="preserve">由 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年 </t>
    </r>
    <r>
      <rPr>
        <i val="true"/>
        <sz val="8"/>
        <color rgb="FF808080"/>
        <rFont val="Arial"/>
        <family val="0"/>
        <charset val="1"/>
      </rPr>
      <t xml:space="preserve">Q4 </t>
    </r>
    <r>
      <rPr>
        <i val="true"/>
        <sz val="8"/>
        <color rgb="FF808080"/>
        <rFont val="WenQuanYi Zen Hei"/>
        <family val="2"/>
      </rPr>
      <t xml:space="preserve">股息 </t>
    </r>
    <r>
      <rPr>
        <i val="true"/>
        <sz val="8"/>
        <color rgb="FF808080"/>
        <rFont val="Arial"/>
        <family val="0"/>
        <charset val="1"/>
      </rPr>
      <t xml:space="preserve">$1.77 </t>
    </r>
    <r>
      <rPr>
        <i val="true"/>
        <sz val="8"/>
        <color rgb="FF808080"/>
        <rFont val="WenQuanYi Zen Hei"/>
        <family val="2"/>
      </rPr>
      <t xml:space="preserve">推得（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年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披露 </t>
    </r>
    <r>
      <rPr>
        <i val="true"/>
        <sz val="8"/>
        <color rgb="FF808080"/>
        <rFont val="Arial"/>
        <family val="0"/>
        <charset val="1"/>
      </rPr>
      <t xml:space="preserve">Q4 </t>
    </r>
    <r>
      <rPr>
        <i val="true"/>
        <sz val="8"/>
        <color rgb="FF808080"/>
        <rFont val="WenQuanYi Zen Hei"/>
        <family val="2"/>
      </rPr>
      <t xml:space="preserve">为 </t>
    </r>
    <r>
      <rPr>
        <i val="true"/>
        <sz val="8"/>
        <color rgb="FF808080"/>
        <rFont val="Arial"/>
        <family val="0"/>
        <charset val="1"/>
      </rPr>
      <t xml:space="preserve">1.77</t>
    </r>
    <r>
      <rPr>
        <i val="true"/>
        <sz val="8"/>
        <color rgb="FF808080"/>
        <rFont val="WenQuanYi Zen Hei"/>
        <family val="2"/>
      </rPr>
      <t xml:space="preserve">），待用 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年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核对</t>
    </r>
  </si>
  <si>
    <r>
      <rPr>
        <sz val="9"/>
        <color rgb="FF000000"/>
        <rFont val="Arial"/>
        <family val="0"/>
        <charset val="1"/>
      </rPr>
      <t xml:space="preserve">  2025 </t>
    </r>
    <r>
      <rPr>
        <sz val="9"/>
        <color rgb="FF000000"/>
        <rFont val="WenQuanYi Zen Hei"/>
        <family val="2"/>
      </rPr>
      <t xml:space="preserve">季度股息 </t>
    </r>
    <r>
      <rPr>
        <sz val="9"/>
        <color rgb="FF000000"/>
        <rFont val="Arial"/>
        <family val="0"/>
        <charset val="1"/>
      </rPr>
      <t xml:space="preserve">Q4</t>
    </r>
    <r>
      <rPr>
        <sz val="9"/>
        <color rgb="FF000000"/>
        <rFont val="WenQuanYi Zen Hei"/>
        <family val="2"/>
      </rPr>
      <t xml:space="preserve">（美元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WenQuanYi Zen Hei"/>
        <family val="2"/>
      </rPr>
      <t xml:space="preserve">季）</t>
    </r>
  </si>
  <si>
    <r>
      <rPr>
        <i val="true"/>
        <sz val="8"/>
        <color rgb="FF808080"/>
        <rFont val="Arial"/>
        <family val="0"/>
        <charset val="1"/>
      </rPr>
      <t xml:space="preserve">2026 </t>
    </r>
    <r>
      <rPr>
        <i val="true"/>
        <sz val="8"/>
        <color rgb="FF808080"/>
        <rFont val="WenQuanYi Zen Hei"/>
        <family val="2"/>
      </rPr>
      <t xml:space="preserve">年 </t>
    </r>
    <r>
      <rPr>
        <i val="true"/>
        <sz val="8"/>
        <color rgb="FF808080"/>
        <rFont val="Arial"/>
        <family val="0"/>
        <charset val="1"/>
      </rPr>
      <t xml:space="preserve">9 </t>
    </r>
    <r>
      <rPr>
        <i val="true"/>
        <sz val="8"/>
        <color rgb="FF808080"/>
        <rFont val="WenQuanYi Zen Hei"/>
        <family val="2"/>
      </rPr>
      <t xml:space="preserve">月加息 </t>
    </r>
    <r>
      <rPr>
        <i val="true"/>
        <sz val="8"/>
        <color rgb="FF808080"/>
        <rFont val="Arial"/>
        <family val="0"/>
        <charset val="1"/>
      </rPr>
      <t xml:space="preserve">4% </t>
    </r>
    <r>
      <rPr>
        <i val="true"/>
        <sz val="8"/>
        <color rgb="FF808080"/>
        <rFont val="WenQuanYi Zen Hei"/>
        <family val="2"/>
      </rPr>
      <t xml:space="preserve">至 </t>
    </r>
    <r>
      <rPr>
        <i val="true"/>
        <sz val="8"/>
        <color rgb="FF808080"/>
        <rFont val="Arial"/>
        <family val="0"/>
        <charset val="1"/>
      </rPr>
      <t xml:space="preserve">1.93</t>
    </r>
    <r>
      <rPr>
        <i val="true"/>
        <sz val="8"/>
        <color rgb="FF808080"/>
        <rFont val="WenQuanYi Zen Hei"/>
        <family val="2"/>
      </rPr>
      <t xml:space="preserve">，对应前一季度为 </t>
    </r>
    <r>
      <rPr>
        <i val="true"/>
        <sz val="8"/>
        <color rgb="FF808080"/>
        <rFont val="Arial"/>
        <family val="0"/>
        <charset val="1"/>
      </rPr>
      <t xml:space="preserve">1.86</t>
    </r>
    <r>
      <rPr>
        <i val="true"/>
        <sz val="8"/>
        <color rgb="FF808080"/>
        <rFont val="WenQuanYi Zen Hei"/>
        <family val="2"/>
      </rPr>
      <t xml:space="preserve">（</t>
    </r>
    <r>
      <rPr>
        <i val="true"/>
        <sz val="8"/>
        <color rgb="FF808080"/>
        <rFont val="Arial"/>
        <family val="0"/>
        <charset val="1"/>
      </rPr>
      <t xml:space="preserve">1.93/1.04≈1.856</t>
    </r>
    <r>
      <rPr>
        <i val="true"/>
        <sz val="8"/>
        <color rgb="FF808080"/>
        <rFont val="WenQuanYi Zen Hei"/>
        <family val="2"/>
      </rPr>
      <t xml:space="preserve">）；待核</t>
    </r>
  </si>
  <si>
    <t xml:space="preserve">  每股股息（宣告，美元）</t>
  </si>
  <si>
    <r>
      <rPr>
        <i val="true"/>
        <sz val="8"/>
        <color rgb="FF808080"/>
        <rFont val="Arial"/>
        <family val="0"/>
        <charset val="1"/>
      </rPr>
      <t xml:space="preserve">2019/2022/2023/2024=10-K</t>
    </r>
    <r>
      <rPr>
        <i val="true"/>
        <sz val="8"/>
        <color rgb="FF808080"/>
        <rFont val="WenQuanYi Zen Hei"/>
        <family val="2"/>
      </rPr>
      <t xml:space="preserve">；</t>
    </r>
    <r>
      <rPr>
        <i val="true"/>
        <sz val="8"/>
        <color rgb="FF808080"/>
        <rFont val="Arial"/>
        <family val="0"/>
        <charset val="1"/>
      </rPr>
      <t xml:space="preserve">2020-21=MarketScreener</t>
    </r>
    <r>
      <rPr>
        <i val="true"/>
        <sz val="8"/>
        <color rgb="FF808080"/>
        <rFont val="WenQuanYi Zen Hei"/>
        <family val="2"/>
      </rPr>
      <t xml:space="preserve">，待核；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为推算值（</t>
    </r>
    <r>
      <rPr>
        <i val="true"/>
        <sz val="8"/>
        <color rgb="FF808080"/>
        <rFont val="Arial"/>
        <family val="0"/>
        <charset val="1"/>
      </rPr>
      <t xml:space="preserve">3×Q1-3 + Q4</t>
    </r>
    <r>
      <rPr>
        <i val="true"/>
        <sz val="8"/>
        <color rgb="FF808080"/>
        <rFont val="WenQuanYi Zen Hei"/>
        <family val="2"/>
      </rPr>
      <t xml:space="preserve">）</t>
    </r>
  </si>
  <si>
    <r>
      <rPr>
        <b val="true"/>
        <sz val="9"/>
        <color rgb="FF000000"/>
        <rFont val="WenQuanYi Zen Hei"/>
        <family val="2"/>
      </rPr>
      <t xml:space="preserve">  派息率（</t>
    </r>
    <r>
      <rPr>
        <b val="true"/>
        <sz val="9"/>
        <color rgb="FF000000"/>
        <rFont val="Arial"/>
        <family val="0"/>
        <charset val="1"/>
      </rPr>
      <t xml:space="preserve">DPS / </t>
    </r>
    <r>
      <rPr>
        <b val="true"/>
        <sz val="9"/>
        <color rgb="FF000000"/>
        <rFont val="WenQuanYi Zen Hei"/>
        <family val="2"/>
      </rPr>
      <t xml:space="preserve">摊薄 </t>
    </r>
    <r>
      <rPr>
        <b val="true"/>
        <sz val="9"/>
        <color rgb="FF000000"/>
        <rFont val="Arial"/>
        <family val="0"/>
        <charset val="1"/>
      </rPr>
      <t xml:space="preserve">EPS</t>
    </r>
    <r>
      <rPr>
        <b val="true"/>
        <sz val="9"/>
        <color rgb="FF000000"/>
        <rFont val="WenQuanYi Zen Hei"/>
        <family val="2"/>
      </rPr>
      <t xml:space="preserve">）</t>
    </r>
  </si>
  <si>
    <r>
      <rPr>
        <i val="true"/>
        <sz val="8"/>
        <color rgb="FF808080"/>
        <rFont val="WenQuanYi Zen Hei"/>
        <family val="2"/>
      </rPr>
      <t xml:space="preserve">自行计算；</t>
    </r>
    <r>
      <rPr>
        <i val="true"/>
        <sz val="8"/>
        <color rgb="FF808080"/>
        <rFont val="Arial"/>
        <family val="0"/>
        <charset val="1"/>
      </rPr>
      <t xml:space="preserve">2020 </t>
    </r>
    <r>
      <rPr>
        <i val="true"/>
        <sz val="8"/>
        <color rgb="FF808080"/>
        <rFont val="WenQuanYi Zen Hei"/>
        <family val="2"/>
      </rPr>
      <t xml:space="preserve">因疫情 </t>
    </r>
    <r>
      <rPr>
        <i val="true"/>
        <sz val="8"/>
        <color rgb="FF808080"/>
        <rFont val="Arial"/>
        <family val="0"/>
        <charset val="1"/>
      </rPr>
      <t xml:space="preserve">EPS </t>
    </r>
    <r>
      <rPr>
        <i val="true"/>
        <sz val="8"/>
        <color rgb="FF808080"/>
        <rFont val="WenQuanYi Zen Hei"/>
        <family val="2"/>
      </rPr>
      <t xml:space="preserve">下滑而升至约 </t>
    </r>
    <r>
      <rPr>
        <i val="true"/>
        <sz val="8"/>
        <color rgb="FF808080"/>
        <rFont val="Arial"/>
        <family val="0"/>
        <charset val="1"/>
      </rPr>
      <t xml:space="preserve">80%</t>
    </r>
    <r>
      <rPr>
        <i val="true"/>
        <sz val="8"/>
        <color rgb="FF808080"/>
        <rFont val="WenQuanYi Zen Hei"/>
        <family val="2"/>
      </rPr>
      <t xml:space="preserve">；使用宣告股息而非现金分红</t>
    </r>
  </si>
  <si>
    <t xml:space="preserve">经营与现金流</t>
  </si>
  <si>
    <t xml:space="preserve">  总收入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</si>
  <si>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财报；</t>
    </r>
    <r>
      <rPr>
        <i val="true"/>
        <sz val="8"/>
        <color rgb="FF808080"/>
        <rFont val="Arial"/>
        <family val="0"/>
        <charset val="1"/>
      </rPr>
      <t xml:space="preserve">2019-24 </t>
    </r>
    <r>
      <rPr>
        <i val="true"/>
        <sz val="8"/>
        <color rgb="FF808080"/>
        <rFont val="WenQuanYi Zen Hei"/>
        <family val="2"/>
      </rPr>
      <t xml:space="preserve">总收入未取得（可得的仅为分项，见 </t>
    </r>
    <r>
      <rPr>
        <i val="true"/>
        <sz val="8"/>
        <color rgb="FF808080"/>
        <rFont val="Arial"/>
        <family val="0"/>
        <charset val="1"/>
      </rPr>
      <t xml:space="preserve">Segments_UE</t>
    </r>
    <r>
      <rPr>
        <i val="true"/>
        <sz val="8"/>
        <color rgb="FF808080"/>
        <rFont val="WenQuanYi Zen Hei"/>
        <family val="2"/>
      </rPr>
      <t xml:space="preserve">）</t>
    </r>
  </si>
  <si>
    <t xml:space="preserve">  营业利润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</si>
  <si>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含 </t>
    </r>
    <r>
      <rPr>
        <i val="true"/>
        <sz val="8"/>
        <color rgb="FF808080"/>
        <rFont val="Arial"/>
        <family val="0"/>
        <charset val="1"/>
      </rPr>
      <t xml:space="preserve">$229M </t>
    </r>
    <r>
      <rPr>
        <i val="true"/>
        <sz val="8"/>
        <color rgb="FF808080"/>
        <rFont val="WenQuanYi Zen Hei"/>
        <family val="2"/>
      </rPr>
      <t xml:space="preserve">重组等净税前费用，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含 </t>
    </r>
    <r>
      <rPr>
        <i val="true"/>
        <sz val="8"/>
        <color rgb="FF808080"/>
        <rFont val="Arial"/>
        <family val="0"/>
        <charset val="1"/>
      </rPr>
      <t xml:space="preserve">$291M </t>
    </r>
    <r>
      <rPr>
        <i val="true"/>
        <sz val="8"/>
        <color rgb="FF808080"/>
        <rFont val="WenQuanYi Zen Hei"/>
        <family val="2"/>
      </rPr>
      <t xml:space="preserve">净费用（均为公司披露）</t>
    </r>
  </si>
  <si>
    <t xml:space="preserve">    营业利润率</t>
  </si>
  <si>
    <r>
      <rPr>
        <i val="true"/>
        <sz val="8"/>
        <color rgb="FF808080"/>
        <rFont val="WenQuanYi Zen Hei"/>
        <family val="2"/>
      </rPr>
      <t xml:space="preserve">自行计算，与 </t>
    </r>
    <r>
      <rPr>
        <i val="true"/>
        <sz val="8"/>
        <color rgb="FF808080"/>
        <rFont val="Arial"/>
        <family val="0"/>
        <charset val="1"/>
      </rPr>
      <t xml:space="preserve">stockrow </t>
    </r>
    <r>
      <rPr>
        <i val="true"/>
        <sz val="8"/>
        <color rgb="FF808080"/>
        <rFont val="WenQuanYi Zen Hei"/>
        <family val="2"/>
      </rPr>
      <t xml:space="preserve">的 </t>
    </r>
    <r>
      <rPr>
        <i val="true"/>
        <sz val="8"/>
        <color rgb="FF808080"/>
        <rFont val="Arial"/>
        <family val="0"/>
        <charset val="1"/>
      </rPr>
      <t xml:space="preserve">46.1% </t>
    </r>
    <r>
      <rPr>
        <i val="true"/>
        <sz val="8"/>
        <color rgb="FF808080"/>
        <rFont val="WenQuanYi Zen Hei"/>
        <family val="2"/>
      </rPr>
      <t xml:space="preserve">一致</t>
    </r>
  </si>
  <si>
    <t xml:space="preserve">  经营现金流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</si>
  <si>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</t>
    </r>
  </si>
  <si>
    <t xml:space="preserve">  资本开支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</si>
  <si>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年初指引 </t>
    </r>
    <r>
      <rPr>
        <i val="true"/>
        <sz val="8"/>
        <color rgb="FF808080"/>
        <rFont val="Arial"/>
        <family val="0"/>
        <charset val="1"/>
      </rPr>
      <t xml:space="preserve">$3.0–3.2B</t>
    </r>
    <r>
      <rPr>
        <i val="true"/>
        <sz val="8"/>
        <color rgb="FF808080"/>
        <rFont val="WenQuanYi Zen Hei"/>
        <family val="2"/>
      </rPr>
      <t xml:space="preserve">，实际高于指引</t>
    </r>
  </si>
  <si>
    <r>
      <rPr>
        <b val="true"/>
        <sz val="9"/>
        <color rgb="FF000000"/>
        <rFont val="WenQuanYi Zen Hei"/>
        <family val="2"/>
      </rPr>
      <t xml:space="preserve">  自由现金流（</t>
    </r>
    <r>
      <rPr>
        <b val="true"/>
        <sz val="9"/>
        <color rgb="FF000000"/>
        <rFont val="Arial"/>
        <family val="0"/>
        <charset val="1"/>
      </rPr>
      <t xml:space="preserve">CFO − </t>
    </r>
    <r>
      <rPr>
        <b val="true"/>
        <sz val="9"/>
        <color rgb="FF000000"/>
        <rFont val="WenQuanYi Zen Hei"/>
        <family val="2"/>
      </rPr>
      <t xml:space="preserve">资本开支）</t>
    </r>
  </si>
  <si>
    <t xml:space="preserve">    公司披露的自由现金流</t>
  </si>
  <si>
    <t xml:space="preserve">    核对差异（应为零）</t>
  </si>
  <si>
    <r>
      <rPr>
        <sz val="9"/>
        <color rgb="FF000000"/>
        <rFont val="WenQuanYi Zen Hei"/>
        <family val="2"/>
      </rPr>
      <t xml:space="preserve">    自由现金流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净利润</t>
    </r>
  </si>
  <si>
    <t xml:space="preserve">自行计算</t>
  </si>
  <si>
    <r>
      <rPr>
        <i val="true"/>
        <sz val="8"/>
        <color rgb="FFC00000"/>
        <rFont val="WenQuanYi Zen Hei"/>
        <family val="2"/>
      </rPr>
      <t xml:space="preserve">注：</t>
    </r>
    <r>
      <rPr>
        <i val="true"/>
        <sz val="8"/>
        <color rgb="FFC00000"/>
        <rFont val="Arial"/>
        <family val="0"/>
        <charset val="1"/>
      </rPr>
      <t xml:space="preserve">n.a. </t>
    </r>
    <r>
      <rPr>
        <i val="true"/>
        <sz val="8"/>
        <color rgb="FFC00000"/>
        <rFont val="WenQuanYi Zen Hei"/>
        <family val="2"/>
      </rPr>
      <t xml:space="preserve">表示本次未能取得经验证的数据，未做估算。需 </t>
    </r>
    <r>
      <rPr>
        <i val="true"/>
        <sz val="8"/>
        <color rgb="FFC00000"/>
        <rFont val="Arial"/>
        <family val="0"/>
        <charset val="1"/>
      </rPr>
      <t xml:space="preserve">10-K </t>
    </r>
    <r>
      <rPr>
        <i val="true"/>
        <sz val="8"/>
        <color rgb="FFC00000"/>
        <rFont val="WenQuanYi Zen Hei"/>
        <family val="2"/>
      </rPr>
      <t xml:space="preserve">原文补齐 </t>
    </r>
    <r>
      <rPr>
        <i val="true"/>
        <sz val="8"/>
        <color rgb="FFC00000"/>
        <rFont val="Arial"/>
        <family val="0"/>
        <charset val="1"/>
      </rPr>
      <t xml:space="preserve">FY2019-2023 </t>
    </r>
    <r>
      <rPr>
        <i val="true"/>
        <sz val="8"/>
        <color rgb="FFC00000"/>
        <rFont val="WenQuanYi Zen Hei"/>
        <family val="2"/>
      </rPr>
      <t xml:space="preserve">的收入、营业利润、现金流和资本开支。</t>
    </r>
  </si>
  <si>
    <r>
      <rPr>
        <b val="true"/>
        <sz val="12"/>
        <color rgb="FF0000FF"/>
        <rFont val="WenQuanYi Zen Hei"/>
        <family val="2"/>
      </rPr>
      <t xml:space="preserve">收入结构与单位经济（</t>
    </r>
    <r>
      <rPr>
        <b val="true"/>
        <sz val="12"/>
        <color rgb="FF0000FF"/>
        <rFont val="Arial"/>
        <family val="0"/>
        <charset val="1"/>
      </rPr>
      <t xml:space="preserve">UE</t>
    </r>
    <r>
      <rPr>
        <b val="true"/>
        <sz val="12"/>
        <color rgb="FF0000FF"/>
        <rFont val="WenQuanYi Zen Hei"/>
        <family val="2"/>
      </rPr>
      <t xml:space="preserve">）</t>
    </r>
  </si>
  <si>
    <t xml:space="preserve">（美元百万，除非另有说明；单店数据为美元千元）</t>
  </si>
  <si>
    <r>
      <rPr>
        <i val="true"/>
        <sz val="8"/>
        <color rgb="FF808080"/>
        <rFont val="WenQuanYi Zen Hei"/>
        <family val="2"/>
      </rPr>
      <t xml:space="preserve">资料来源：</t>
    </r>
    <r>
      <rPr>
        <i val="true"/>
        <sz val="8"/>
        <color rgb="FF808080"/>
        <rFont val="Arial"/>
        <family val="0"/>
        <charset val="1"/>
      </rPr>
      <t xml:space="preserve">FY2023-25 10-K </t>
    </r>
    <r>
      <rPr>
        <i val="true"/>
        <sz val="8"/>
        <color rgb="FF808080"/>
        <rFont val="WenQuanYi Zen Hei"/>
        <family val="2"/>
      </rPr>
      <t xml:space="preserve">摘要；单店 </t>
    </r>
    <r>
      <rPr>
        <i val="true"/>
        <sz val="8"/>
        <color rgb="FF808080"/>
        <rFont val="Arial"/>
        <family val="0"/>
        <charset val="1"/>
      </rPr>
      <t xml:space="preserve">UE </t>
    </r>
    <r>
      <rPr>
        <i val="true"/>
        <sz val="8"/>
        <color rgb="FF808080"/>
        <rFont val="WenQuanYi Zen Hei"/>
        <family val="2"/>
      </rPr>
      <t xml:space="preserve">为自行推算，店数为二手来源，仅供参考</t>
    </r>
  </si>
  <si>
    <r>
      <rPr>
        <b val="true"/>
        <sz val="9"/>
        <color rgb="FFFFFFFF"/>
        <rFont val="Arial"/>
        <family val="0"/>
        <charset val="1"/>
      </rPr>
      <t xml:space="preserve">A. </t>
    </r>
    <r>
      <rPr>
        <b val="true"/>
        <sz val="9"/>
        <color rgb="FFFFFFFF"/>
        <rFont val="WenQuanYi Zen Hei"/>
        <family val="2"/>
      </rPr>
      <t xml:space="preserve">收入结构</t>
    </r>
  </si>
  <si>
    <t xml:space="preserve">FY2023</t>
  </si>
  <si>
    <t xml:space="preserve">FY2024</t>
  </si>
  <si>
    <t xml:space="preserve">FY2025</t>
  </si>
  <si>
    <t xml:space="preserve">特许经营收入明细</t>
  </si>
  <si>
    <t xml:space="preserve">  租金</t>
  </si>
  <si>
    <r>
      <rPr>
        <i val="true"/>
        <sz val="8"/>
        <color rgb="FF808080"/>
        <rFont val="Arial"/>
        <family val="0"/>
        <charset val="1"/>
      </rPr>
      <t xml:space="preserve">FY2024 10-K </t>
    </r>
    <r>
      <rPr>
        <i val="true"/>
        <sz val="8"/>
        <color rgb="FF808080"/>
        <rFont val="WenQuanYi Zen Hei"/>
        <family val="2"/>
      </rPr>
      <t xml:space="preserve">表格；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拆分未取得</t>
    </r>
  </si>
  <si>
    <t xml:space="preserve">  特许权使用费</t>
  </si>
  <si>
    <t xml:space="preserve">  初始费</t>
  </si>
  <si>
    <t xml:space="preserve">特许经营收入</t>
  </si>
  <si>
    <r>
      <rPr>
        <i val="true"/>
        <sz val="8"/>
        <color rgb="FF808080"/>
        <rFont val="Arial"/>
        <family val="0"/>
        <charset val="1"/>
      </rPr>
      <t xml:space="preserve">2023-24 </t>
    </r>
    <r>
      <rPr>
        <i val="true"/>
        <sz val="8"/>
        <color rgb="FF808080"/>
        <rFont val="WenQuanYi Zen Hei"/>
        <family val="2"/>
      </rPr>
      <t xml:space="preserve">为分项加总（与披露 </t>
    </r>
    <r>
      <rPr>
        <i val="true"/>
        <sz val="8"/>
        <color rgb="FF808080"/>
        <rFont val="Arial"/>
        <family val="0"/>
        <charset val="1"/>
      </rPr>
      <t xml:space="preserve">15,437 / 15,715 </t>
    </r>
    <r>
      <rPr>
        <i val="true"/>
        <sz val="8"/>
        <color rgb="FF808080"/>
        <rFont val="WenQuanYi Zen Hei"/>
        <family val="2"/>
      </rPr>
      <t xml:space="preserve">一致）；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为披露总数，分项未取得</t>
    </r>
  </si>
  <si>
    <t xml:space="preserve">    租金占特许经营收入比</t>
  </si>
  <si>
    <t xml:space="preserve">自营餐厅销售额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</si>
  <si>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 </t>
    </r>
    <r>
      <rPr>
        <i val="true"/>
        <sz val="8"/>
        <color rgb="FF808080"/>
        <rFont val="Arial"/>
        <family val="0"/>
        <charset val="1"/>
      </rPr>
      <t xml:space="preserve">/ Quantumrun </t>
    </r>
    <r>
      <rPr>
        <i val="true"/>
        <sz val="8"/>
        <color rgb="FF808080"/>
        <rFont val="WenQuanYi Zen Hei"/>
        <family val="2"/>
      </rPr>
      <t xml:space="preserve">引用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表格</t>
    </r>
  </si>
  <si>
    <t xml:space="preserve">其他收入</t>
  </si>
  <si>
    <t xml:space="preserve">总收入</t>
  </si>
  <si>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加总 </t>
    </r>
    <r>
      <rPr>
        <i val="true"/>
        <sz val="8"/>
        <color rgb="FF808080"/>
        <rFont val="Arial"/>
        <family val="0"/>
        <charset val="1"/>
      </rPr>
      <t xml:space="preserve">= 26,885</t>
    </r>
    <r>
      <rPr>
        <i val="true"/>
        <sz val="8"/>
        <color rgb="FF808080"/>
        <rFont val="WenQuanYi Zen Hei"/>
        <family val="2"/>
      </rPr>
      <t xml:space="preserve">，与披露总收入一致；</t>
    </r>
    <r>
      <rPr>
        <i val="true"/>
        <sz val="8"/>
        <color rgb="FF808080"/>
        <rFont val="Arial"/>
        <family val="0"/>
        <charset val="1"/>
      </rPr>
      <t xml:space="preserve">2023-24 </t>
    </r>
    <r>
      <rPr>
        <i val="true"/>
        <sz val="8"/>
        <color rgb="FF808080"/>
        <rFont val="WenQuanYi Zen Hei"/>
        <family val="2"/>
      </rPr>
      <t xml:space="preserve">其他收入未取得</t>
    </r>
  </si>
  <si>
    <t xml:space="preserve">    特许经营收入占总收入比</t>
  </si>
  <si>
    <t xml:space="preserve">    自营销售额占总收入比</t>
  </si>
  <si>
    <r>
      <rPr>
        <b val="true"/>
        <sz val="9"/>
        <color rgb="FFFFFFFF"/>
        <rFont val="Arial"/>
        <family val="0"/>
        <charset val="1"/>
      </rPr>
      <t xml:space="preserve">B. FY2025 </t>
    </r>
    <r>
      <rPr>
        <b val="true"/>
        <sz val="9"/>
        <color rgb="FFFFFFFF"/>
        <rFont val="WenQuanYi Zen Hei"/>
        <family val="2"/>
      </rPr>
      <t xml:space="preserve">餐厅利润</t>
    </r>
  </si>
  <si>
    <r>
      <rPr>
        <sz val="9"/>
        <color rgb="FF000000"/>
        <rFont val="WenQuanYi Zen Hei"/>
        <family val="2"/>
      </rPr>
      <t xml:space="preserve">特许经营利润（</t>
    </r>
    <r>
      <rPr>
        <sz val="9"/>
        <color rgb="FF000000"/>
        <rFont val="Arial"/>
        <family val="0"/>
        <charset val="1"/>
      </rPr>
      <t xml:space="preserve">franchised margin</t>
    </r>
    <r>
      <rPr>
        <sz val="9"/>
        <color rgb="FF000000"/>
        <rFont val="WenQuanYi Zen Hei"/>
        <family val="2"/>
      </rPr>
      <t xml:space="preserve">）</t>
    </r>
  </si>
  <si>
    <r>
      <rPr>
        <i val="true"/>
        <sz val="8"/>
        <color rgb="FFC00000"/>
        <rFont val="WenQuanYi Zen Hei"/>
        <family val="2"/>
      </rPr>
      <t xml:space="preserve">二手分析文章引用，未能与 </t>
    </r>
    <r>
      <rPr>
        <i val="true"/>
        <sz val="8"/>
        <color rgb="FFC00000"/>
        <rFont val="Arial"/>
        <family val="0"/>
        <charset val="1"/>
      </rPr>
      <t xml:space="preserve">10-K </t>
    </r>
    <r>
      <rPr>
        <i val="true"/>
        <sz val="8"/>
        <color rgb="FFC00000"/>
        <rFont val="WenQuanYi Zen Hei"/>
        <family val="2"/>
      </rPr>
      <t xml:space="preserve">原文核对，待核</t>
    </r>
  </si>
  <si>
    <r>
      <rPr>
        <sz val="9"/>
        <color rgb="FF000000"/>
        <rFont val="WenQuanYi Zen Hei"/>
        <family val="2"/>
      </rPr>
      <t xml:space="preserve">自营餐厅利润（</t>
    </r>
    <r>
      <rPr>
        <sz val="9"/>
        <color rgb="FF000000"/>
        <rFont val="Arial"/>
        <family val="0"/>
        <charset val="1"/>
      </rPr>
      <t xml:space="preserve">company-operated margin</t>
    </r>
    <r>
      <rPr>
        <sz val="9"/>
        <color rgb="FF000000"/>
        <rFont val="WenQuanYi Zen Hei"/>
        <family val="2"/>
      </rPr>
      <t xml:space="preserve">）</t>
    </r>
  </si>
  <si>
    <t xml:space="preserve">同上，待核</t>
  </si>
  <si>
    <t xml:space="preserve">餐厅利润合计（加总）</t>
  </si>
  <si>
    <r>
      <rPr>
        <sz val="9"/>
        <color rgb="FF000000"/>
        <rFont val="Arial"/>
        <family val="0"/>
        <charset val="1"/>
      </rPr>
      <t xml:space="preserve">  10-K </t>
    </r>
    <r>
      <rPr>
        <sz val="9"/>
        <color rgb="FF000000"/>
        <rFont val="WenQuanYi Zen Hei"/>
        <family val="2"/>
      </rPr>
      <t xml:space="preserve">披露的餐厅利润合计</t>
    </r>
  </si>
  <si>
    <t xml:space="preserve">  核对差异</t>
  </si>
  <si>
    <r>
      <rPr>
        <i val="true"/>
        <sz val="8"/>
        <color rgb="FF808080"/>
        <rFont val="WenQuanYi Zen Hei"/>
        <family val="2"/>
      </rPr>
      <t xml:space="preserve">差异 </t>
    </r>
    <r>
      <rPr>
        <i val="true"/>
        <sz val="8"/>
        <color rgb="FF808080"/>
        <rFont val="Arial"/>
        <family val="0"/>
        <charset val="1"/>
      </rPr>
      <t xml:space="preserve">1</t>
    </r>
    <r>
      <rPr>
        <i val="true"/>
        <sz val="8"/>
        <color rgb="FF808080"/>
        <rFont val="WenQuanYi Zen Hei"/>
        <family val="2"/>
      </rPr>
      <t xml:space="preserve">（四舍五入），说明两项二手数字与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合计相符</t>
    </r>
  </si>
  <si>
    <t xml:space="preserve">  特许经营利润率（占特许经营收入）</t>
  </si>
  <si>
    <t xml:space="preserve">  自营餐厅利润率（占自营销售额）</t>
  </si>
  <si>
    <t xml:space="preserve">  特许经营占餐厅利润比</t>
  </si>
  <si>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称约 </t>
    </r>
    <r>
      <rPr>
        <i val="true"/>
        <sz val="8"/>
        <color rgb="FF808080"/>
        <rFont val="Arial"/>
        <family val="0"/>
        <charset val="1"/>
      </rPr>
      <t xml:space="preserve">90%</t>
    </r>
  </si>
  <si>
    <r>
      <rPr>
        <b val="true"/>
        <sz val="9"/>
        <color rgb="FFFFFFFF"/>
        <rFont val="Arial"/>
        <family val="0"/>
        <charset val="1"/>
      </rPr>
      <t xml:space="preserve">C. </t>
    </r>
    <r>
      <rPr>
        <b val="true"/>
        <sz val="9"/>
        <color rgb="FFFFFFFF"/>
        <rFont val="WenQuanYi Zen Hei"/>
        <family val="2"/>
      </rPr>
      <t xml:space="preserve">单位经济（推算，仅供参考）</t>
    </r>
  </si>
  <si>
    <t xml:space="preserve">系统销售额</t>
  </si>
  <si>
    <r>
      <rPr>
        <i val="true"/>
        <sz val="8"/>
        <color rgb="FF808080"/>
        <rFont val="Arial"/>
        <family val="0"/>
        <charset val="1"/>
      </rPr>
      <t xml:space="preserve">FY2025 10-K </t>
    </r>
    <r>
      <rPr>
        <i val="true"/>
        <sz val="8"/>
        <color rgb="FF808080"/>
        <rFont val="WenQuanYi Zen Hei"/>
        <family val="2"/>
      </rPr>
      <t xml:space="preserve">摘要：</t>
    </r>
    <r>
      <rPr>
        <i val="true"/>
        <sz val="8"/>
        <color rgb="FF808080"/>
        <rFont val="Arial"/>
        <family val="0"/>
        <charset val="1"/>
      </rPr>
      <t xml:space="preserve">$139.4B</t>
    </r>
    <r>
      <rPr>
        <i val="true"/>
        <sz val="8"/>
        <color rgb="FF808080"/>
        <rFont val="WenQuanYi Zen Hei"/>
        <family val="2"/>
      </rPr>
      <t xml:space="preserve">，</t>
    </r>
    <r>
      <rPr>
        <i val="true"/>
        <sz val="8"/>
        <color rgb="FF808080"/>
        <rFont val="Arial"/>
        <family val="0"/>
        <charset val="1"/>
      </rPr>
      <t xml:space="preserve">+7%</t>
    </r>
    <r>
      <rPr>
        <i val="true"/>
        <sz val="8"/>
        <color rgb="FF808080"/>
        <rFont val="WenQuanYi Zen Hei"/>
        <family val="2"/>
      </rPr>
      <t xml:space="preserve">（固定汇率 </t>
    </r>
    <r>
      <rPr>
        <i val="true"/>
        <sz val="8"/>
        <color rgb="FF808080"/>
        <rFont val="Arial"/>
        <family val="0"/>
        <charset val="1"/>
      </rPr>
      <t xml:space="preserve">+5%</t>
    </r>
    <r>
      <rPr>
        <i val="true"/>
        <sz val="8"/>
        <color rgb="FF808080"/>
        <rFont val="WenQuanYi Zen Hei"/>
        <family val="2"/>
      </rPr>
      <t xml:space="preserve">）</t>
    </r>
  </si>
  <si>
    <t xml:space="preserve">  特许经营店销售额（推算）</t>
  </si>
  <si>
    <t xml:space="preserve">系统销售额 − 自营销售额</t>
  </si>
  <si>
    <t xml:space="preserve">  麦当劳对特许经营店的整体抽成率</t>
  </si>
  <si>
    <r>
      <rPr>
        <i val="true"/>
        <sz val="8"/>
        <color rgb="FF808080"/>
        <rFont val="WenQuanYi Zen Hei"/>
        <family val="2"/>
      </rPr>
      <t xml:space="preserve">特许经营收入 </t>
    </r>
    <r>
      <rPr>
        <i val="true"/>
        <sz val="8"/>
        <color rgb="FF808080"/>
        <rFont val="Arial"/>
        <family val="0"/>
        <charset val="1"/>
      </rPr>
      <t xml:space="preserve">/ </t>
    </r>
    <r>
      <rPr>
        <i val="true"/>
        <sz val="8"/>
        <color rgb="FF808080"/>
        <rFont val="WenQuanYi Zen Hei"/>
        <family val="2"/>
      </rPr>
      <t xml:space="preserve">特许经营店销售额（租金 </t>
    </r>
    <r>
      <rPr>
        <i val="true"/>
        <sz val="8"/>
        <color rgb="FF808080"/>
        <rFont val="Arial"/>
        <family val="0"/>
        <charset val="1"/>
      </rPr>
      <t xml:space="preserve">+ </t>
    </r>
    <r>
      <rPr>
        <i val="true"/>
        <sz val="8"/>
        <color rgb="FF808080"/>
        <rFont val="WenQuanYi Zen Hei"/>
        <family val="2"/>
      </rPr>
      <t xml:space="preserve">特许权使用费 </t>
    </r>
    <r>
      <rPr>
        <i val="true"/>
        <sz val="8"/>
        <color rgb="FF808080"/>
        <rFont val="Arial"/>
        <family val="0"/>
        <charset val="1"/>
      </rPr>
      <t xml:space="preserve">+ </t>
    </r>
    <r>
      <rPr>
        <i val="true"/>
        <sz val="8"/>
        <color rgb="FF808080"/>
        <rFont val="WenQuanYi Zen Hei"/>
        <family val="2"/>
      </rPr>
      <t xml:space="preserve">初始费）</t>
    </r>
  </si>
  <si>
    <t xml:space="preserve">特许经营店数（年末）</t>
  </si>
  <si>
    <r>
      <rPr>
        <i val="true"/>
        <sz val="8"/>
        <color rgb="FFC00000"/>
        <rFont val="Arial"/>
        <family val="0"/>
        <charset val="1"/>
      </rPr>
      <t xml:space="preserve">Koala Gains</t>
    </r>
    <r>
      <rPr>
        <i val="true"/>
        <sz val="8"/>
        <color rgb="FFC00000"/>
        <rFont val="WenQuanYi Zen Hei"/>
        <family val="2"/>
      </rPr>
      <t xml:space="preserve">（二手），未核对 </t>
    </r>
    <r>
      <rPr>
        <i val="true"/>
        <sz val="8"/>
        <color rgb="FFC00000"/>
        <rFont val="Arial"/>
        <family val="0"/>
        <charset val="1"/>
      </rPr>
      <t xml:space="preserve">10-K</t>
    </r>
    <r>
      <rPr>
        <i val="true"/>
        <sz val="8"/>
        <color rgb="FFC00000"/>
        <rFont val="WenQuanYi Zen Hei"/>
        <family val="2"/>
      </rPr>
      <t xml:space="preserve">；</t>
    </r>
    <r>
      <rPr>
        <i val="true"/>
        <sz val="8"/>
        <color rgb="FFC00000"/>
        <rFont val="Arial"/>
        <family val="0"/>
        <charset val="1"/>
      </rPr>
      <t xml:space="preserve">10-K </t>
    </r>
    <r>
      <rPr>
        <i val="true"/>
        <sz val="8"/>
        <color rgb="FFC00000"/>
        <rFont val="WenQuanYi Zen Hei"/>
        <family val="2"/>
      </rPr>
      <t xml:space="preserve">称特许经营约占 </t>
    </r>
    <r>
      <rPr>
        <i val="true"/>
        <sz val="8"/>
        <color rgb="FFC00000"/>
        <rFont val="Arial"/>
        <family val="0"/>
        <charset val="1"/>
      </rPr>
      <t xml:space="preserve">95%</t>
    </r>
  </si>
  <si>
    <t xml:space="preserve">自营店数（年末）</t>
  </si>
  <si>
    <r>
      <rPr>
        <i val="true"/>
        <sz val="8"/>
        <color rgb="FFC00000"/>
        <rFont val="WenQuanYi Zen Hei"/>
        <family val="2"/>
      </rPr>
      <t xml:space="preserve">同上，由 </t>
    </r>
    <r>
      <rPr>
        <i val="true"/>
        <sz val="8"/>
        <color rgb="FFC00000"/>
        <rFont val="Arial"/>
        <family val="0"/>
        <charset val="1"/>
      </rPr>
      <t xml:space="preserve">Koala Gains </t>
    </r>
    <r>
      <rPr>
        <i val="true"/>
        <sz val="8"/>
        <color rgb="FFC00000"/>
        <rFont val="WenQuanYi Zen Hei"/>
        <family val="2"/>
      </rPr>
      <t xml:space="preserve">总数 </t>
    </r>
    <r>
      <rPr>
        <i val="true"/>
        <sz val="8"/>
        <color rgb="FFC00000"/>
        <rFont val="Arial"/>
        <family val="0"/>
        <charset val="1"/>
      </rPr>
      <t xml:space="preserve">45,360 − 43,320 </t>
    </r>
    <r>
      <rPr>
        <i val="true"/>
        <sz val="8"/>
        <color rgb="FFC00000"/>
        <rFont val="WenQuanYi Zen Hei"/>
        <family val="2"/>
      </rPr>
      <t xml:space="preserve">得出</t>
    </r>
  </si>
  <si>
    <t xml:space="preserve">餐厅总数</t>
  </si>
  <si>
    <r>
      <rPr>
        <sz val="9"/>
        <color rgb="FF000000"/>
        <rFont val="WenQuanYi Zen Hei"/>
        <family val="2"/>
      </rPr>
      <t xml:space="preserve">  对照：</t>
    </r>
    <r>
      <rPr>
        <sz val="9"/>
        <color rgb="FF000000"/>
        <rFont val="Arial"/>
        <family val="0"/>
        <charset val="1"/>
      </rPr>
      <t xml:space="preserve">Quantumrun </t>
    </r>
    <r>
      <rPr>
        <sz val="9"/>
        <color rgb="FF000000"/>
        <rFont val="WenQuanYi Zen Hei"/>
        <family val="2"/>
      </rPr>
      <t xml:space="preserve">总数</t>
    </r>
  </si>
  <si>
    <t xml:space="preserve">  差异</t>
  </si>
  <si>
    <r>
      <rPr>
        <i val="true"/>
        <sz val="8"/>
        <color rgb="FF808080"/>
        <rFont val="WenQuanYi Zen Hei"/>
        <family val="2"/>
      </rPr>
      <t xml:space="preserve">两个二手来源相差 </t>
    </r>
    <r>
      <rPr>
        <i val="true"/>
        <sz val="8"/>
        <color rgb="FF808080"/>
        <rFont val="Arial"/>
        <family val="0"/>
        <charset val="1"/>
      </rPr>
      <t xml:space="preserve">4 </t>
    </r>
    <r>
      <rPr>
        <i val="true"/>
        <sz val="8"/>
        <color rgb="FF808080"/>
        <rFont val="WenQuanYi Zen Hei"/>
        <family val="2"/>
      </rPr>
      <t xml:space="preserve">家，说明店数口径有出入</t>
    </r>
  </si>
  <si>
    <r>
      <rPr>
        <b val="true"/>
        <sz val="9"/>
        <color rgb="FF000000"/>
        <rFont val="WenQuanYi Zen Hei"/>
        <family val="2"/>
      </rPr>
      <t xml:space="preserve">单店 </t>
    </r>
    <r>
      <rPr>
        <b val="true"/>
        <sz val="9"/>
        <color rgb="FF000000"/>
        <rFont val="Arial"/>
        <family val="0"/>
        <charset val="1"/>
      </rPr>
      <t xml:space="preserve">UE</t>
    </r>
    <r>
      <rPr>
        <b val="true"/>
        <sz val="9"/>
        <color rgb="FF000000"/>
        <rFont val="WenQuanYi Zen Hei"/>
        <family val="2"/>
      </rPr>
      <t xml:space="preserve">（美元千元）</t>
    </r>
  </si>
  <si>
    <t xml:space="preserve">  单个特许经营店销售额</t>
  </si>
  <si>
    <r>
      <rPr>
        <i val="true"/>
        <sz val="8"/>
        <color rgb="FF808080"/>
        <rFont val="WenQuanYi Zen Hei"/>
        <family val="2"/>
      </rPr>
      <t xml:space="preserve">用年末店数代替平均店数，存在误差；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不披露特许经营商自身的 </t>
    </r>
    <r>
      <rPr>
        <i val="true"/>
        <sz val="8"/>
        <color rgb="FF808080"/>
        <rFont val="Arial"/>
        <family val="0"/>
        <charset val="1"/>
      </rPr>
      <t xml:space="preserve">P&amp;L</t>
    </r>
    <r>
      <rPr>
        <i val="true"/>
        <sz val="8"/>
        <color rgb="FF808080"/>
        <rFont val="WenQuanYi Zen Hei"/>
        <family val="2"/>
      </rPr>
      <t xml:space="preserve">，故无法计算加盟商 </t>
    </r>
    <r>
      <rPr>
        <i val="true"/>
        <sz val="8"/>
        <color rgb="FF808080"/>
        <rFont val="Arial"/>
        <family val="0"/>
        <charset val="1"/>
      </rPr>
      <t xml:space="preserve">UE</t>
    </r>
  </si>
  <si>
    <t xml:space="preserve">  麦当劳从每家特许经营店获得的收入</t>
  </si>
  <si>
    <t xml:space="preserve">  麦当劳从每家特许经营店获得的利润</t>
  </si>
  <si>
    <t xml:space="preserve">  单个自营店销售额</t>
  </si>
  <si>
    <t xml:space="preserve">  单个自营店利润</t>
  </si>
  <si>
    <r>
      <rPr>
        <sz val="9"/>
        <color rgb="FF000000"/>
        <rFont val="WenQuanYi Zen Hei"/>
        <family val="2"/>
      </rPr>
      <t xml:space="preserve">  自营店利润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特许经营店利润</t>
    </r>
  </si>
  <si>
    <r>
      <rPr>
        <i val="true"/>
        <sz val="8"/>
        <color rgb="FFC00000"/>
        <rFont val="WenQuanYi Zen Hei"/>
        <family val="2"/>
      </rPr>
      <t xml:space="preserve">注：未包含特许经营商（加盟商）单店模型：</t>
    </r>
    <r>
      <rPr>
        <i val="true"/>
        <sz val="8"/>
        <color rgb="FFC00000"/>
        <rFont val="Arial"/>
        <family val="0"/>
        <charset val="1"/>
      </rPr>
      <t xml:space="preserve">10-K </t>
    </r>
    <r>
      <rPr>
        <i val="true"/>
        <sz val="8"/>
        <color rgb="FFC00000"/>
        <rFont val="WenQuanYi Zen Hei"/>
        <family val="2"/>
      </rPr>
      <t xml:space="preserve">不披露其成本结构，不做假设性估算。</t>
    </r>
  </si>
  <si>
    <t xml:space="preserve">现金流与资本配置</t>
  </si>
  <si>
    <r>
      <rPr>
        <i val="true"/>
        <sz val="8"/>
        <color rgb="FF808080"/>
        <rFont val="WenQuanYi Zen Hei"/>
        <family val="2"/>
      </rPr>
      <t xml:space="preserve">资料来源：</t>
    </r>
    <r>
      <rPr>
        <i val="true"/>
        <sz val="8"/>
        <color rgb="FF808080"/>
        <rFont val="Arial"/>
        <family val="0"/>
        <charset val="1"/>
      </rPr>
      <t xml:space="preserve">FY2025 10-K </t>
    </r>
    <r>
      <rPr>
        <i val="true"/>
        <sz val="8"/>
        <color rgb="FF808080"/>
        <rFont val="WenQuanYi Zen Hei"/>
        <family val="2"/>
      </rPr>
      <t xml:space="preserve">摘要（分红、回购、长期债务）；</t>
    </r>
    <r>
      <rPr>
        <i val="true"/>
        <sz val="8"/>
        <color rgb="FF808080"/>
        <rFont val="Arial"/>
        <family val="0"/>
        <charset val="1"/>
      </rPr>
      <t xml:space="preserve">FY2024 </t>
    </r>
    <r>
      <rPr>
        <i val="true"/>
        <sz val="8"/>
        <color rgb="FF808080"/>
        <rFont val="WenQuanYi Zen Hei"/>
        <family val="2"/>
      </rPr>
      <t xml:space="preserve">回报合计为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叙述中的取整值</t>
    </r>
  </si>
  <si>
    <t xml:space="preserve">净利润</t>
  </si>
  <si>
    <t xml:space="preserve">自由现金流</t>
  </si>
  <si>
    <t xml:space="preserve">分红支出</t>
  </si>
  <si>
    <r>
      <rPr>
        <i val="true"/>
        <sz val="8"/>
        <color rgb="FF808080"/>
        <rFont val="Arial"/>
        <family val="0"/>
        <charset val="1"/>
      </rPr>
      <t xml:space="preserve">FY2025 10-K </t>
    </r>
    <r>
      <rPr>
        <i val="true"/>
        <sz val="8"/>
        <color rgb="FF808080"/>
        <rFont val="WenQuanYi Zen Hei"/>
        <family val="2"/>
      </rPr>
      <t xml:space="preserve">摘要；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单项未取得</t>
    </r>
  </si>
  <si>
    <t xml:space="preserve">股票回购</t>
  </si>
  <si>
    <r>
      <rPr>
        <i val="true"/>
        <sz val="8"/>
        <color rgb="FF808080"/>
        <rFont val="Arial"/>
        <family val="0"/>
        <charset val="1"/>
      </rPr>
      <t xml:space="preserve">FY2025 10-K </t>
    </r>
    <r>
      <rPr>
        <i val="true"/>
        <sz val="8"/>
        <color rgb="FF808080"/>
        <rFont val="WenQuanYi Zen Hei"/>
        <family val="2"/>
      </rPr>
      <t xml:space="preserve">摘要：约 </t>
    </r>
    <r>
      <rPr>
        <i val="true"/>
        <sz val="8"/>
        <color rgb="FF808080"/>
        <rFont val="Arial"/>
        <family val="0"/>
        <charset val="1"/>
      </rPr>
      <t xml:space="preserve">670 </t>
    </r>
    <r>
      <rPr>
        <i val="true"/>
        <sz val="8"/>
        <color rgb="FF808080"/>
        <rFont val="WenQuanYi Zen Hei"/>
        <family val="2"/>
      </rPr>
      <t xml:space="preserve">万股，授权额度 </t>
    </r>
    <r>
      <rPr>
        <i val="true"/>
        <sz val="8"/>
        <color rgb="FF808080"/>
        <rFont val="Arial"/>
        <family val="0"/>
        <charset val="1"/>
      </rPr>
      <t xml:space="preserve">$150 </t>
    </r>
    <r>
      <rPr>
        <i val="true"/>
        <sz val="8"/>
        <color rgb="FF808080"/>
        <rFont val="WenQuanYi Zen Hei"/>
        <family val="2"/>
      </rPr>
      <t xml:space="preserve">亿（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年 </t>
    </r>
    <r>
      <rPr>
        <i val="true"/>
        <sz val="8"/>
        <color rgb="FF808080"/>
        <rFont val="Arial"/>
        <family val="0"/>
        <charset val="1"/>
      </rPr>
      <t xml:space="preserve">1 </t>
    </r>
    <r>
      <rPr>
        <i val="true"/>
        <sz val="8"/>
        <color rgb="FF808080"/>
        <rFont val="WenQuanYi Zen Hei"/>
        <family val="2"/>
      </rPr>
      <t xml:space="preserve">月起）</t>
    </r>
  </si>
  <si>
    <t xml:space="preserve">股东回报合计</t>
  </si>
  <si>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为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叙述的取整值（约 </t>
    </r>
    <r>
      <rPr>
        <i val="true"/>
        <sz val="8"/>
        <color rgb="FF808080"/>
        <rFont val="Arial"/>
        <family val="0"/>
        <charset val="1"/>
      </rPr>
      <t xml:space="preserve">$7.7B</t>
    </r>
    <r>
      <rPr>
        <i val="true"/>
        <sz val="8"/>
        <color rgb="FF808080"/>
        <rFont val="WenQuanYi Zen Hei"/>
        <family val="2"/>
      </rPr>
      <t xml:space="preserve">），非加总；</t>
    </r>
    <r>
      <rPr>
        <i val="true"/>
        <sz val="8"/>
        <color rgb="FF808080"/>
        <rFont val="Arial"/>
        <family val="0"/>
        <charset val="1"/>
      </rPr>
      <t xml:space="preserve">2025 </t>
    </r>
    <r>
      <rPr>
        <i val="true"/>
        <sz val="8"/>
        <color rgb="FF808080"/>
        <rFont val="WenQuanYi Zen Hei"/>
        <family val="2"/>
      </rPr>
      <t xml:space="preserve">加总</t>
    </r>
    <r>
      <rPr>
        <i val="true"/>
        <sz val="8"/>
        <color rgb="FF808080"/>
        <rFont val="Arial"/>
        <family val="0"/>
        <charset val="1"/>
      </rPr>
      <t xml:space="preserve">=7,131</t>
    </r>
    <r>
      <rPr>
        <i val="true"/>
        <sz val="8"/>
        <color rgb="FF808080"/>
        <rFont val="WenQuanYi Zen Hei"/>
        <family val="2"/>
      </rPr>
      <t xml:space="preserve">，与 </t>
    </r>
    <r>
      <rPr>
        <i val="true"/>
        <sz val="8"/>
        <color rgb="FF808080"/>
        <rFont val="Arial"/>
        <family val="0"/>
        <charset val="1"/>
      </rPr>
      <t xml:space="preserve">10-K </t>
    </r>
    <r>
      <rPr>
        <i val="true"/>
        <sz val="8"/>
        <color rgb="FF808080"/>
        <rFont val="WenQuanYi Zen Hei"/>
        <family val="2"/>
      </rPr>
      <t xml:space="preserve">叙述约 </t>
    </r>
    <r>
      <rPr>
        <i val="true"/>
        <sz val="8"/>
        <color rgb="FF808080"/>
        <rFont val="Arial"/>
        <family val="0"/>
        <charset val="1"/>
      </rPr>
      <t xml:space="preserve">$7.1B </t>
    </r>
    <r>
      <rPr>
        <i val="true"/>
        <sz val="8"/>
        <color rgb="FF808080"/>
        <rFont val="WenQuanYi Zen Hei"/>
        <family val="2"/>
      </rPr>
      <t xml:space="preserve">一致</t>
    </r>
  </si>
  <si>
    <r>
      <rPr>
        <sz val="9"/>
        <color rgb="FF000000"/>
        <rFont val="WenQuanYi Zen Hei"/>
        <family val="2"/>
      </rPr>
      <t xml:space="preserve">  股东回报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自由现金流</t>
    </r>
  </si>
  <si>
    <r>
      <rPr>
        <i val="true"/>
        <sz val="8"/>
        <color rgb="FF808080"/>
        <rFont val="WenQuanYi Zen Hei"/>
        <family val="2"/>
      </rPr>
      <t xml:space="preserve">自行计算；</t>
    </r>
    <r>
      <rPr>
        <i val="true"/>
        <sz val="8"/>
        <color rgb="FF808080"/>
        <rFont val="Arial"/>
        <family val="0"/>
        <charset val="1"/>
      </rPr>
      <t xml:space="preserve">2024 </t>
    </r>
    <r>
      <rPr>
        <i val="true"/>
        <sz val="8"/>
        <color rgb="FF808080"/>
        <rFont val="WenQuanYi Zen Hei"/>
        <family val="2"/>
      </rPr>
      <t xml:space="preserve">年回报超过自由现金流（用取整值，偏差有限）</t>
    </r>
  </si>
  <si>
    <r>
      <rPr>
        <sz val="9"/>
        <color rgb="FF000000"/>
        <rFont val="WenQuanYi Zen Hei"/>
        <family val="2"/>
      </rPr>
      <t xml:space="preserve">  分红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自由现金流</t>
    </r>
  </si>
  <si>
    <r>
      <rPr>
        <sz val="9"/>
        <color rgb="FF000000"/>
        <rFont val="WenQuanYi Zen Hei"/>
        <family val="2"/>
      </rPr>
      <t xml:space="preserve">  分红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净利润（现金口径）</t>
    </r>
  </si>
  <si>
    <r>
      <rPr>
        <i val="true"/>
        <sz val="8"/>
        <color rgb="FF808080"/>
        <rFont val="WenQuanYi Zen Hei"/>
        <family val="2"/>
      </rPr>
      <t xml:space="preserve">与按每股口径算出的派息率（约 </t>
    </r>
    <r>
      <rPr>
        <i val="true"/>
        <sz val="8"/>
        <color rgb="FF808080"/>
        <rFont val="Arial"/>
        <family val="0"/>
        <charset val="1"/>
      </rPr>
      <t xml:space="preserve">60%</t>
    </r>
    <r>
      <rPr>
        <i val="true"/>
        <sz val="8"/>
        <color rgb="FF808080"/>
        <rFont val="WenQuanYi Zen Hei"/>
        <family val="2"/>
      </rPr>
      <t xml:space="preserve">）互相印证</t>
    </r>
  </si>
  <si>
    <r>
      <rPr>
        <sz val="9"/>
        <color rgb="FF000000"/>
        <rFont val="WenQuanYi Zen Hei"/>
        <family val="2"/>
      </rPr>
      <t xml:space="preserve">  回购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自由现金流</t>
    </r>
  </si>
  <si>
    <t xml:space="preserve">长期债务</t>
  </si>
  <si>
    <r>
      <rPr>
        <i val="true"/>
        <sz val="8"/>
        <color rgb="FF808080"/>
        <rFont val="Arial"/>
        <family val="0"/>
        <charset val="1"/>
      </rPr>
      <t xml:space="preserve">FY2025 </t>
    </r>
    <r>
      <rPr>
        <i val="true"/>
        <sz val="8"/>
        <color rgb="FF808080"/>
        <rFont val="WenQuanYi Zen Hei"/>
        <family val="2"/>
      </rPr>
      <t xml:space="preserve">财报；不含租赁及其他债务（第三方汇总的总债务约 </t>
    </r>
    <r>
      <rPr>
        <i val="true"/>
        <sz val="8"/>
        <color rgb="FF808080"/>
        <rFont val="Arial"/>
        <family val="0"/>
        <charset val="1"/>
      </rPr>
      <t xml:space="preserve">$54.8B</t>
    </r>
    <r>
      <rPr>
        <i val="true"/>
        <sz val="8"/>
        <color rgb="FF808080"/>
        <rFont val="WenQuanYi Zen Hei"/>
        <family val="2"/>
      </rPr>
      <t xml:space="preserve">，口径不同，不可直接比较）</t>
    </r>
  </si>
  <si>
    <t xml:space="preserve">  长期债务变动</t>
  </si>
  <si>
    <t xml:space="preserve">自由现金流 − 股东回报（缺口为负）</t>
  </si>
  <si>
    <r>
      <rPr>
        <i val="true"/>
        <sz val="8"/>
        <color rgb="FFC00000"/>
        <rFont val="Arial"/>
        <family val="0"/>
        <charset val="1"/>
      </rPr>
      <t xml:space="preserve">2025 </t>
    </r>
    <r>
      <rPr>
        <i val="true"/>
        <sz val="8"/>
        <color rgb="FFC00000"/>
        <rFont val="WenQuanYi Zen Hei"/>
        <family val="2"/>
      </rPr>
      <t xml:space="preserve">年债务增加约 </t>
    </r>
    <r>
      <rPr>
        <i val="true"/>
        <sz val="8"/>
        <color rgb="FFC00000"/>
        <rFont val="Arial"/>
        <family val="0"/>
        <charset val="1"/>
      </rPr>
      <t xml:space="preserve">1.5B</t>
    </r>
    <r>
      <rPr>
        <i val="true"/>
        <sz val="8"/>
        <color rgb="FFC00000"/>
        <rFont val="WenQuanYi Zen Hei"/>
        <family val="2"/>
      </rPr>
      <t xml:space="preserve">，而自由现金流与回报基本持平，需结合现金变动判断资金来源（现金余额未取得）</t>
    </r>
  </si>
  <si>
    <t xml:space="preserve">数据来源与缺口</t>
  </si>
  <si>
    <t xml:space="preserve">（核对状态说明）</t>
  </si>
  <si>
    <r>
      <rPr>
        <i val="true"/>
        <sz val="8"/>
        <color rgb="FF808080"/>
        <rFont val="WenQuanYi Zen Hei"/>
        <family val="2"/>
      </rPr>
      <t xml:space="preserve">说明：本表所有数字均经搜索摘要取得，未直接读取 </t>
    </r>
    <r>
      <rPr>
        <i val="true"/>
        <sz val="8"/>
        <color rgb="FF808080"/>
        <rFont val="Arial"/>
        <family val="0"/>
        <charset val="1"/>
      </rPr>
      <t xml:space="preserve">SEC / </t>
    </r>
    <r>
      <rPr>
        <i val="true"/>
        <sz val="8"/>
        <color rgb="FF808080"/>
        <rFont val="WenQuanYi Zen Hei"/>
        <family val="2"/>
      </rPr>
      <t xml:space="preserve">公司披露原文（沙箱网络受限）</t>
    </r>
  </si>
  <si>
    <t xml:space="preserve">来源清单</t>
  </si>
  <si>
    <t xml:space="preserve">数据点</t>
  </si>
  <si>
    <t xml:space="preserve">状态</t>
  </si>
  <si>
    <t xml:space="preserve">来源</t>
  </si>
  <si>
    <t xml:space="preserve">备注</t>
  </si>
  <si>
    <r>
      <rPr>
        <sz val="9"/>
        <color rgb="FF000000"/>
        <rFont val="Arial"/>
        <family val="0"/>
        <charset val="1"/>
      </rPr>
      <t xml:space="preserve">FY2025 </t>
    </r>
    <r>
      <rPr>
        <sz val="9"/>
        <color rgb="FF000000"/>
        <rFont val="WenQuanYi Zen Hei"/>
        <family val="2"/>
      </rPr>
      <t xml:space="preserve">净利润 </t>
    </r>
    <r>
      <rPr>
        <sz val="9"/>
        <color rgb="FF000000"/>
        <rFont val="Arial"/>
        <family val="0"/>
        <charset val="1"/>
      </rPr>
      <t xml:space="preserve">/ EPS / </t>
    </r>
    <r>
      <rPr>
        <sz val="9"/>
        <color rgb="FF000000"/>
        <rFont val="WenQuanYi Zen Hei"/>
        <family val="2"/>
      </rPr>
      <t xml:space="preserve">营业利润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现金流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资本开支</t>
    </r>
  </si>
  <si>
    <t xml:space="preserve">官方披露（经搜索摘要引述）</t>
  </si>
  <si>
    <t xml:space="preserve">https://mcdonalds.mediaroom.com/2026-02-11-McDONALDS-REPORTS-FOURTH-QUARTER-AND-FULL-YEAR-2025-RESULTS</t>
  </si>
  <si>
    <r>
      <rPr>
        <sz val="9"/>
        <color rgb="FF000000"/>
        <rFont val="Arial"/>
        <family val="0"/>
        <charset val="1"/>
      </rPr>
      <t xml:space="preserve">FY2025 </t>
    </r>
    <r>
      <rPr>
        <sz val="9"/>
        <color rgb="FF000000"/>
        <rFont val="WenQuanYi Zen Hei"/>
        <family val="2"/>
      </rPr>
      <t xml:space="preserve">收入分项</t>
    </r>
  </si>
  <si>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WenQuanYi Zen Hei"/>
        <family val="2"/>
      </rPr>
      <t xml:space="preserve">摘要</t>
    </r>
  </si>
  <si>
    <t xml:space="preserve">https://companiesmarketcap.com/mcdonald/sec-reports-10k/0000063908-26-000035/</t>
  </si>
  <si>
    <r>
      <rPr>
        <sz val="9"/>
        <color rgb="FF000000"/>
        <rFont val="WenQuanYi Zen Hei"/>
        <family val="2"/>
      </rPr>
      <t xml:space="preserve">自营销售额由 </t>
    </r>
    <r>
      <rPr>
        <sz val="9"/>
        <color rgb="FF000000"/>
        <rFont val="Arial"/>
        <family val="0"/>
        <charset val="1"/>
      </rPr>
      <t xml:space="preserve">Quantumrun </t>
    </r>
    <r>
      <rPr>
        <sz val="9"/>
        <color rgb="FF000000"/>
        <rFont val="WenQuanYi Zen Hei"/>
        <family val="2"/>
      </rPr>
      <t xml:space="preserve">引用的 </t>
    </r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WenQuanYi Zen Hei"/>
        <family val="2"/>
      </rPr>
      <t xml:space="preserve">表格交叉印证</t>
    </r>
  </si>
  <si>
    <r>
      <rPr>
        <sz val="9"/>
        <color rgb="FF000000"/>
        <rFont val="Arial"/>
        <family val="0"/>
        <charset val="1"/>
      </rPr>
      <t xml:space="preserve">FY2025 </t>
    </r>
    <r>
      <rPr>
        <sz val="9"/>
        <color rgb="FF000000"/>
        <rFont val="WenQuanYi Zen Hei"/>
        <family val="2"/>
      </rPr>
      <t xml:space="preserve">分红支出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回购</t>
    </r>
  </si>
  <si>
    <t xml:space="preserve">https://www.sec.gov/Archives/edgar/data/63908/000006390826000035/mcd-20251231.htm</t>
  </si>
  <si>
    <r>
      <rPr>
        <sz val="9"/>
        <color rgb="FF000000"/>
        <rFont val="Arial"/>
        <family val="0"/>
        <charset val="1"/>
      </rPr>
      <t xml:space="preserve">FY2025 </t>
    </r>
    <r>
      <rPr>
        <sz val="9"/>
        <color rgb="FF000000"/>
        <rFont val="WenQuanYi Zen Hei"/>
        <family val="2"/>
      </rPr>
      <t xml:space="preserve">长期债务</t>
    </r>
  </si>
  <si>
    <t xml:space="preserve">https://www.nasdaq.com/press-release/mcdonalds-reports-fourth-quarter-and-full-year-2025-results-2026-02-11</t>
  </si>
  <si>
    <r>
      <rPr>
        <sz val="9"/>
        <color rgb="FF000000"/>
        <rFont val="Arial"/>
        <family val="0"/>
        <charset val="1"/>
      </rPr>
      <t xml:space="preserve">FY2023-24 </t>
    </r>
    <r>
      <rPr>
        <sz val="9"/>
        <color rgb="FF000000"/>
        <rFont val="WenQuanYi Zen Hei"/>
        <family val="2"/>
      </rPr>
      <t xml:space="preserve">特许经营收入明细</t>
    </r>
  </si>
  <si>
    <t xml:space="preserve">https://www.sec.gov/Archives/edgar/data/63908/000006390825000012/mcd-20241231.htm</t>
  </si>
  <si>
    <r>
      <rPr>
        <sz val="9"/>
        <color rgb="FF000000"/>
        <rFont val="Arial"/>
        <family val="0"/>
        <charset val="1"/>
      </rPr>
      <t xml:space="preserve">FY2025 </t>
    </r>
    <r>
      <rPr>
        <sz val="9"/>
        <color rgb="FF000000"/>
        <rFont val="WenQuanYi Zen Hei"/>
        <family val="2"/>
      </rPr>
      <t xml:space="preserve">特许经营利润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自营餐厅利润</t>
    </r>
  </si>
  <si>
    <t xml:space="preserve">二手，待核</t>
  </si>
  <si>
    <t xml:space="preserve">https://fourweekmba.com/mcdonalds-margins/</t>
  </si>
  <si>
    <r>
      <rPr>
        <sz val="9"/>
        <color rgb="FF000000"/>
        <rFont val="WenQuanYi Zen Hei"/>
        <family val="2"/>
      </rPr>
      <t xml:space="preserve">与 </t>
    </r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WenQuanYi Zen Hei"/>
        <family val="2"/>
      </rPr>
      <t xml:space="preserve">的餐厅利润合计 </t>
    </r>
    <r>
      <rPr>
        <sz val="9"/>
        <color rgb="FF000000"/>
        <rFont val="Arial"/>
        <family val="0"/>
        <charset val="1"/>
      </rPr>
      <t xml:space="preserve">15,351 </t>
    </r>
    <r>
      <rPr>
        <sz val="9"/>
        <color rgb="FF000000"/>
        <rFont val="WenQuanYi Zen Hei"/>
        <family val="2"/>
      </rPr>
      <t xml:space="preserve">加总核对一致</t>
    </r>
  </si>
  <si>
    <r>
      <rPr>
        <sz val="9"/>
        <color rgb="FF000000"/>
        <rFont val="Arial"/>
        <family val="0"/>
        <charset val="1"/>
      </rPr>
      <t xml:space="preserve">2019-2024 </t>
    </r>
    <r>
      <rPr>
        <sz val="9"/>
        <color rgb="FF000000"/>
        <rFont val="WenQuanYi Zen Hei"/>
        <family val="2"/>
      </rPr>
      <t xml:space="preserve">净利润</t>
    </r>
  </si>
  <si>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WenQuanYi Zen Hei"/>
        <family val="2"/>
      </rPr>
      <t xml:space="preserve">与汇总站</t>
    </r>
  </si>
  <si>
    <t xml:space="preserve">https://www.macrotrends.net/stocks/charts/MCD/mcdonalds/net-income</t>
  </si>
  <si>
    <r>
      <rPr>
        <sz val="9"/>
        <color rgb="FF000000"/>
        <rFont val="Arial"/>
        <family val="0"/>
        <charset val="1"/>
      </rPr>
      <t xml:space="preserve">2022-24 </t>
    </r>
    <r>
      <rPr>
        <sz val="9"/>
        <color rgb="FF000000"/>
        <rFont val="WenQuanYi Zen Hei"/>
        <family val="2"/>
      </rPr>
      <t xml:space="preserve">已与 </t>
    </r>
    <r>
      <rPr>
        <sz val="9"/>
        <color rgb="FF000000"/>
        <rFont val="Arial"/>
        <family val="0"/>
        <charset val="1"/>
      </rPr>
      <t xml:space="preserve">FY2024 10-K </t>
    </r>
    <r>
      <rPr>
        <sz val="9"/>
        <color rgb="FF000000"/>
        <rFont val="WenQuanYi Zen Hei"/>
        <family val="2"/>
      </rPr>
      <t xml:space="preserve">核对；</t>
    </r>
    <r>
      <rPr>
        <sz val="9"/>
        <color rgb="FF000000"/>
        <rFont val="Arial"/>
        <family val="0"/>
        <charset val="1"/>
      </rPr>
      <t xml:space="preserve">2019-21 </t>
    </r>
    <r>
      <rPr>
        <sz val="9"/>
        <color rgb="FF000000"/>
        <rFont val="WenQuanYi Zen Hei"/>
        <family val="2"/>
      </rPr>
      <t xml:space="preserve">待核</t>
    </r>
  </si>
  <si>
    <t xml:space="preserve">2020-2022 EPS</t>
  </si>
  <si>
    <t xml:space="preserve">https://www.marketscreener.com/quote/stock/MCDONALD-S-CORPORATION-4833/valuation-dividend/</t>
  </si>
  <si>
    <r>
      <rPr>
        <sz val="9"/>
        <color rgb="FF000000"/>
        <rFont val="Arial"/>
        <family val="0"/>
        <charset val="1"/>
      </rPr>
      <t xml:space="preserve">2020-2021 </t>
    </r>
    <r>
      <rPr>
        <sz val="9"/>
        <color rgb="FF000000"/>
        <rFont val="WenQuanYi Zen Hei"/>
        <family val="2"/>
      </rPr>
      <t xml:space="preserve">每股股息</t>
    </r>
  </si>
  <si>
    <t xml:space="preserve">餐厅数量（年末）</t>
  </si>
  <si>
    <t xml:space="preserve">https://koalagains.com/stocks/NYSE/MCD/business-and-moat</t>
  </si>
  <si>
    <r>
      <rPr>
        <sz val="9"/>
        <color rgb="FF000000"/>
        <rFont val="WenQuanYi Zen Hei"/>
        <family val="2"/>
      </rPr>
      <t xml:space="preserve">另与 </t>
    </r>
    <r>
      <rPr>
        <sz val="9"/>
        <color rgb="FF000000"/>
        <rFont val="Arial"/>
        <family val="0"/>
        <charset val="1"/>
      </rPr>
      <t xml:space="preserve">Quantumrun </t>
    </r>
    <r>
      <rPr>
        <sz val="9"/>
        <color rgb="FF000000"/>
        <rFont val="WenQuanYi Zen Hei"/>
        <family val="2"/>
      </rPr>
      <t xml:space="preserve">的 </t>
    </r>
    <r>
      <rPr>
        <sz val="9"/>
        <color rgb="FF000000"/>
        <rFont val="Arial"/>
        <family val="0"/>
        <charset val="1"/>
      </rPr>
      <t xml:space="preserve">45,356 </t>
    </r>
    <r>
      <rPr>
        <sz val="9"/>
        <color rgb="FF000000"/>
        <rFont val="WenQuanYi Zen Hei"/>
        <family val="2"/>
      </rPr>
      <t xml:space="preserve">对照，相差 </t>
    </r>
    <r>
      <rPr>
        <sz val="9"/>
        <color rgb="FF000000"/>
        <rFont val="Arial"/>
        <family val="0"/>
        <charset val="1"/>
      </rPr>
      <t xml:space="preserve">4 </t>
    </r>
    <r>
      <rPr>
        <sz val="9"/>
        <color rgb="FF000000"/>
        <rFont val="WenQuanYi Zen Hei"/>
        <family val="2"/>
      </rPr>
      <t xml:space="preserve">家</t>
    </r>
  </si>
  <si>
    <r>
      <rPr>
        <b val="true"/>
        <sz val="9"/>
        <color rgb="FFFFFFFF"/>
        <rFont val="WenQuanYi Zen Hei"/>
        <family val="2"/>
      </rPr>
      <t xml:space="preserve">缺口（需要 </t>
    </r>
    <r>
      <rPr>
        <b val="true"/>
        <sz val="9"/>
        <color rgb="FFFFFFFF"/>
        <rFont val="Arial"/>
        <family val="0"/>
        <charset val="1"/>
      </rPr>
      <t xml:space="preserve">10-K </t>
    </r>
    <r>
      <rPr>
        <b val="true"/>
        <sz val="9"/>
        <color rgb="FFFFFFFF"/>
        <rFont val="WenQuanYi Zen Hei"/>
        <family val="2"/>
      </rPr>
      <t xml:space="preserve">原文或 </t>
    </r>
    <r>
      <rPr>
        <b val="true"/>
        <sz val="9"/>
        <color rgb="FFFFFFFF"/>
        <rFont val="Arial"/>
        <family val="0"/>
        <charset val="1"/>
      </rPr>
      <t xml:space="preserve">Capital IQ </t>
    </r>
    <r>
      <rPr>
        <b val="true"/>
        <sz val="9"/>
        <color rgb="FFFFFFFF"/>
        <rFont val="WenQuanYi Zen Hei"/>
        <family val="2"/>
      </rPr>
      <t xml:space="preserve">补齐）</t>
    </r>
  </si>
  <si>
    <r>
      <rPr>
        <sz val="9"/>
        <color rgb="FF000000"/>
        <rFont val="Arial"/>
        <family val="0"/>
        <charset val="1"/>
      </rPr>
      <t xml:space="preserve">• FY2019-FY2023 </t>
    </r>
    <r>
      <rPr>
        <sz val="9"/>
        <color rgb="FF000000"/>
        <rFont val="WenQuanYi Zen Hei"/>
        <family val="2"/>
      </rPr>
      <t xml:space="preserve">总收入、营业利润、经营现金流、资本开支、分红和回购</t>
    </r>
  </si>
  <si>
    <r>
      <rPr>
        <sz val="9"/>
        <color rgb="FF000000"/>
        <rFont val="Arial"/>
        <family val="0"/>
        <charset val="1"/>
      </rPr>
      <t xml:space="preserve">• FY2025 </t>
    </r>
    <r>
      <rPr>
        <sz val="9"/>
        <color rgb="FF000000"/>
        <rFont val="WenQuanYi Zen Hei"/>
        <family val="2"/>
      </rPr>
      <t xml:space="preserve">租金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特许权使用费拆分，及 </t>
    </r>
    <r>
      <rPr>
        <sz val="9"/>
        <color rgb="FF000000"/>
        <rFont val="Arial"/>
        <family val="0"/>
        <charset val="1"/>
      </rPr>
      <t xml:space="preserve">FY2024 </t>
    </r>
    <r>
      <rPr>
        <sz val="9"/>
        <color rgb="FF000000"/>
        <rFont val="WenQuanYi Zen Hei"/>
        <family val="2"/>
      </rPr>
      <t xml:space="preserve">其他收入</t>
    </r>
  </si>
  <si>
    <r>
      <rPr>
        <sz val="9"/>
        <color rgb="FF000000"/>
        <rFont val="WenQuanYi Zen Hei"/>
        <family val="2"/>
      </rPr>
      <t xml:space="preserve">• 年末餐厅数（特许经营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自营），以及平均店数、净新开店数</t>
    </r>
  </si>
  <si>
    <t xml:space="preserve">• 现金及现金等价物、净债务、股东权益（用于计算杠杆和回报率）</t>
  </si>
  <si>
    <r>
      <rPr>
        <sz val="9"/>
        <color rgb="FF000000"/>
        <rFont val="WenQuanYi Zen Hei"/>
        <family val="2"/>
      </rPr>
      <t xml:space="preserve">• 各分部（美国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国际运营市场 </t>
    </r>
    <r>
      <rPr>
        <sz val="9"/>
        <color rgb="FF000000"/>
        <rFont val="Arial"/>
        <family val="0"/>
        <charset val="1"/>
      </rPr>
      <t xml:space="preserve">/ </t>
    </r>
    <r>
      <rPr>
        <sz val="9"/>
        <color rgb="FF000000"/>
        <rFont val="WenQuanYi Zen Hei"/>
        <family val="2"/>
      </rPr>
      <t xml:space="preserve">国际发展许可市场）收入、可比销售额和利润</t>
    </r>
  </si>
  <si>
    <r>
      <rPr>
        <sz val="9"/>
        <color rgb="FF000000"/>
        <rFont val="WenQuanYi Zen Hei"/>
        <family val="2"/>
      </rPr>
      <t xml:space="preserve">• 特许经营商单店 </t>
    </r>
    <r>
      <rPr>
        <sz val="9"/>
        <color rgb="FF000000"/>
        <rFont val="Arial"/>
        <family val="0"/>
        <charset val="1"/>
      </rPr>
      <t xml:space="preserve">P&amp;L</t>
    </r>
    <r>
      <rPr>
        <sz val="9"/>
        <color rgb="FF000000"/>
        <rFont val="WenQuanYi Zen Hei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10-K </t>
    </r>
    <r>
      <rPr>
        <sz val="9"/>
        <color rgb="FF000000"/>
        <rFont val="WenQuanYi Zen Hei"/>
        <family val="2"/>
      </rPr>
      <t xml:space="preserve">不披露，需管理层演示或行业调研）</t>
    </r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</si>
</sst>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_);\(#,##0\);&quot;- &quot;"/>
    <numFmt numFmtId="166" formatCode="0.0%_);\(0.0%\);&quot;- &quot;"/>
    <numFmt numFmtId="167" formatCode="#,##0.00_);\(#,##0.00\);&quot;- &quot;"/>
    <numFmt numFmtId="168" formatCode="0.00\x_);\(0.00&quot;x)&quot;;&quot;- &quot;"/>
  </numFmts>
  <fonts count="2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b val="true"/>
      <sz val="12"/>
      <color rgb="FF0000FF"/>
      <name val="Arial"/>
      <family val="0"/>
      <charset val="1"/>
    </font>
    <font>
      <b val="true"/>
      <sz val="12"/>
      <color rgb="FF0000FF"/>
      <name val="WenQuanYi Zen Hei"/>
      <family val="2"/>
    </font>
    <font>
      <sz val="8"/>
      <color rgb="FF000000"/>
      <name val="WenQuanYi Zen Hei"/>
      <family val="2"/>
    </font>
    <font>
      <i val="true"/>
      <sz val="8"/>
      <color rgb="FF808080"/>
      <name val="WenQuanYi Zen Hei"/>
      <family val="2"/>
    </font>
    <font>
      <i val="true"/>
      <sz val="8"/>
      <color rgb="FF808080"/>
      <name val="Arial"/>
      <family val="0"/>
      <charset val="1"/>
    </font>
    <font>
      <b val="true"/>
      <sz val="9"/>
      <color rgb="FFFFFFFF"/>
      <name val="WenQuanYi Zen Hei"/>
      <family val="2"/>
    </font>
    <font>
      <sz val="9"/>
      <color rgb="FFC00000"/>
      <name val="WenQuanYi Zen Hei"/>
      <family val="2"/>
    </font>
    <font>
      <sz val="9"/>
      <color rgb="FFC00000"/>
      <name val="Arial"/>
      <family val="0"/>
      <charset val="1"/>
    </font>
    <font>
      <b val="true"/>
      <sz val="9"/>
      <color rgb="FF0000FF"/>
      <name val="WenQuanYi Zen Hei"/>
      <family val="2"/>
    </font>
    <font>
      <sz val="9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b val="true"/>
      <sz val="9"/>
      <color rgb="FF008000"/>
      <name val="WenQuanYi Zen Hei"/>
      <family val="2"/>
    </font>
    <font>
      <sz val="9"/>
      <color rgb="FF000000"/>
      <name val="Arial"/>
      <family val="0"/>
      <charset val="1"/>
    </font>
    <font>
      <b val="true"/>
      <sz val="9"/>
      <color rgb="FFC00000"/>
      <name val="WenQuanYi Zen Hei"/>
      <family val="2"/>
    </font>
    <font>
      <sz val="9"/>
      <color rgb="FF008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808080"/>
      <name val="Arial"/>
      <family val="0"/>
      <charset val="1"/>
    </font>
    <font>
      <i val="true"/>
      <sz val="8"/>
      <color rgb="FFC00000"/>
      <name val="WenQuanYi Zen Hei"/>
      <family val="2"/>
    </font>
    <font>
      <i val="true"/>
      <sz val="8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2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20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6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20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7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Project_McDonalds_Financials.xlsx" TargetMode="External"/><Relationship Id="rId2" Type="http://schemas.openxmlformats.org/officeDocument/2006/relationships/hyperlink" Target="Project_McDonalds_Financials.xlsx" TargetMode="External"/><Relationship Id="rId3" Type="http://schemas.openxmlformats.org/officeDocument/2006/relationships/hyperlink" Target="Project_McDonalds_Financials.xlsx" TargetMode="External"/><Relationship Id="rId4" Type="http://schemas.openxmlformats.org/officeDocument/2006/relationships/hyperlink" Target="Project_McDonalds_Financials.xlsx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mcdonalds.mediaroom.com/2026-02-11-McDONALDS-REPORTS-FOURTH-QUARTER-AND-FULL-YEAR-2025-RESULTS" TargetMode="External"/><Relationship Id="rId2" Type="http://schemas.openxmlformats.org/officeDocument/2006/relationships/hyperlink" Target="https://companiesmarketcap.com/mcdonald/sec-reports-10k/0000063908-26-000035/" TargetMode="External"/><Relationship Id="rId3" Type="http://schemas.openxmlformats.org/officeDocument/2006/relationships/hyperlink" Target="https://www.sec.gov/Archives/edgar/data/63908/000006390826000035/mcd-20251231.htm" TargetMode="External"/><Relationship Id="rId4" Type="http://schemas.openxmlformats.org/officeDocument/2006/relationships/hyperlink" Target="https://www.nasdaq.com/press-release/mcdonalds-reports-fourth-quarter-and-full-year-2025-results-2026-02-11" TargetMode="External"/><Relationship Id="rId5" Type="http://schemas.openxmlformats.org/officeDocument/2006/relationships/hyperlink" Target="https://www.sec.gov/Archives/edgar/data/63908/000006390825000012/mcd-20241231.htm" TargetMode="External"/><Relationship Id="rId6" Type="http://schemas.openxmlformats.org/officeDocument/2006/relationships/hyperlink" Target="https://fourweekmba.com/mcdonalds-margins/" TargetMode="External"/><Relationship Id="rId7" Type="http://schemas.openxmlformats.org/officeDocument/2006/relationships/hyperlink" Target="https://www.macrotrends.net/stocks/charts/MCD/mcdonalds/net-income" TargetMode="External"/><Relationship Id="rId8" Type="http://schemas.openxmlformats.org/officeDocument/2006/relationships/hyperlink" Target="https://www.marketscreener.com/quote/stock/MCDONALD-S-CORPORATION-4833/valuation-dividend/" TargetMode="External"/><Relationship Id="rId9" Type="http://schemas.openxmlformats.org/officeDocument/2006/relationships/hyperlink" Target="https://www.marketscreener.com/quote/stock/MCDONALD-S-CORPORATION-4833/valuation-dividend/" TargetMode="External"/><Relationship Id="rId10" Type="http://schemas.openxmlformats.org/officeDocument/2006/relationships/hyperlink" Target="https://koalagains.com/stocks/NYSE/MCD/business-and-moat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1.6"/>
    <col collapsed="false" customWidth="true" hidden="false" outlineLevel="0" max="3" min="3" style="0" width="28"/>
    <col collapsed="false" customWidth="true" hidden="false" outlineLevel="0" max="4" min="4" style="0" width="90"/>
  </cols>
  <sheetData>
    <row r="2" customFormat="false" ht="17.35" hidden="false" customHeight="false" outlineLevel="0" collapsed="false">
      <c r="B2" s="1" t="s">
        <v>0</v>
      </c>
    </row>
    <row r="3" customFormat="false" ht="16.4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</row>
    <row r="7" customFormat="false" ht="15" hidden="false" customHeight="false" outlineLevel="0" collapsed="false">
      <c r="C7" s="5" t="s">
        <v>4</v>
      </c>
      <c r="D7" s="5"/>
    </row>
    <row r="8" customFormat="false" ht="15" hidden="false" customHeight="false" outlineLevel="0" collapsed="false">
      <c r="C8" s="6" t="s">
        <v>5</v>
      </c>
    </row>
    <row r="9" customFormat="false" ht="15" hidden="false" customHeight="false" outlineLevel="0" collapsed="false">
      <c r="C9" s="7" t="s">
        <v>6</v>
      </c>
    </row>
    <row r="11" customFormat="false" ht="15" hidden="false" customHeight="false" outlineLevel="0" collapsed="false">
      <c r="C11" s="5" t="s">
        <v>7</v>
      </c>
      <c r="D11" s="5"/>
    </row>
    <row r="12" customFormat="false" ht="15" hidden="false" customHeight="false" outlineLevel="0" collapsed="false">
      <c r="C12" s="8" t="s">
        <v>8</v>
      </c>
      <c r="D12" s="9" t="s">
        <v>9</v>
      </c>
    </row>
    <row r="13" customFormat="false" ht="15" hidden="false" customHeight="false" outlineLevel="0" collapsed="false">
      <c r="C13" s="10" t="s">
        <v>10</v>
      </c>
      <c r="D13" s="9" t="s">
        <v>11</v>
      </c>
    </row>
    <row r="14" customFormat="false" ht="15" hidden="false" customHeight="false" outlineLevel="0" collapsed="false">
      <c r="C14" s="11" t="s">
        <v>12</v>
      </c>
      <c r="D14" s="9" t="s">
        <v>13</v>
      </c>
    </row>
    <row r="15" customFormat="false" ht="15" hidden="false" customHeight="false" outlineLevel="0" collapsed="false">
      <c r="C15" s="12" t="s">
        <v>14</v>
      </c>
      <c r="D15" s="9" t="s">
        <v>15</v>
      </c>
    </row>
    <row r="17" customFormat="false" ht="15" hidden="false" customHeight="false" outlineLevel="0" collapsed="false">
      <c r="C17" s="5" t="s">
        <v>16</v>
      </c>
      <c r="D17" s="5"/>
    </row>
    <row r="18" customFormat="false" ht="15" hidden="false" customHeight="false" outlineLevel="0" collapsed="false">
      <c r="C18" s="13" t="s">
        <v>17</v>
      </c>
      <c r="D18" s="9" t="s">
        <v>18</v>
      </c>
    </row>
    <row r="19" customFormat="false" ht="15" hidden="false" customHeight="false" outlineLevel="0" collapsed="false">
      <c r="C19" s="13" t="s">
        <v>19</v>
      </c>
      <c r="D19" s="9" t="s">
        <v>20</v>
      </c>
    </row>
    <row r="20" customFormat="false" ht="15" hidden="false" customHeight="false" outlineLevel="0" collapsed="false">
      <c r="C20" s="13" t="s">
        <v>21</v>
      </c>
      <c r="D20" s="9" t="s">
        <v>22</v>
      </c>
    </row>
    <row r="21" customFormat="false" ht="15" hidden="false" customHeight="false" outlineLevel="0" collapsed="false">
      <c r="C21" s="13" t="s">
        <v>23</v>
      </c>
      <c r="D21" s="9" t="s">
        <v>24</v>
      </c>
    </row>
  </sheetData>
  <hyperlinks>
    <hyperlink ref="C18" r:id="rId1" location="'Financials'!A1" display="Financials"/>
    <hyperlink ref="C19" r:id="rId2" location="'Segments_UE'!A1" display="Segments_UE"/>
    <hyperlink ref="C20" r:id="rId3" location="'Capital_Allocation'!A1" display="Capital_Allocation"/>
    <hyperlink ref="C21" r:id="rId4" location="'Sources_Gaps'!A1" display="Sources_Gaps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K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1.6"/>
    <col collapsed="false" customWidth="true" hidden="false" outlineLevel="0" max="3" min="3" style="0" width="38"/>
    <col collapsed="false" customWidth="true" hidden="false" outlineLevel="0" max="10" min="4" style="0" width="11"/>
    <col collapsed="false" customWidth="true" hidden="false" outlineLevel="0" max="11" min="11" style="0" width="70"/>
  </cols>
  <sheetData>
    <row r="2" customFormat="false" ht="17.35" hidden="false" customHeight="false" outlineLevel="0" collapsed="false">
      <c r="B2" s="1" t="s">
        <v>0</v>
      </c>
    </row>
    <row r="3" customFormat="false" ht="16.4" hidden="false" customHeight="false" outlineLevel="0" collapsed="false">
      <c r="B3" s="14" t="s">
        <v>25</v>
      </c>
    </row>
    <row r="4" customFormat="false" ht="15" hidden="false" customHeight="false" outlineLevel="0" collapsed="false">
      <c r="B4" s="3" t="s">
        <v>26</v>
      </c>
    </row>
    <row r="5" customFormat="false" ht="15" hidden="false" customHeight="false" outlineLevel="0" collapsed="false">
      <c r="B5" s="4" t="s">
        <v>27</v>
      </c>
    </row>
    <row r="7" customFormat="false" ht="15" hidden="false" customHeight="false" outlineLevel="0" collapsed="false">
      <c r="C7" s="5" t="s">
        <v>28</v>
      </c>
      <c r="D7" s="5"/>
      <c r="E7" s="5"/>
      <c r="F7" s="5"/>
      <c r="G7" s="5"/>
      <c r="H7" s="5"/>
      <c r="I7" s="5"/>
      <c r="J7" s="5"/>
      <c r="K7" s="5"/>
    </row>
    <row r="9" customFormat="false" ht="15" hidden="false" customHeight="false" outlineLevel="0" collapsed="false">
      <c r="C9" s="15" t="s">
        <v>29</v>
      </c>
      <c r="D9" s="16" t="s">
        <v>30</v>
      </c>
      <c r="E9" s="16" t="s">
        <v>31</v>
      </c>
      <c r="F9" s="16" t="s">
        <v>32</v>
      </c>
      <c r="G9" s="16" t="s">
        <v>33</v>
      </c>
      <c r="H9" s="16" t="s">
        <v>34</v>
      </c>
      <c r="I9" s="16" t="s">
        <v>35</v>
      </c>
      <c r="J9" s="16" t="s">
        <v>36</v>
      </c>
      <c r="K9" s="15" t="s">
        <v>37</v>
      </c>
    </row>
    <row r="10" customFormat="false" ht="15" hidden="false" customHeight="false" outlineLevel="0" collapsed="false">
      <c r="C10" s="15" t="s">
        <v>38</v>
      </c>
    </row>
    <row r="11" customFormat="false" ht="15" hidden="false" customHeight="false" outlineLevel="0" collapsed="false">
      <c r="C11" s="17" t="s">
        <v>39</v>
      </c>
      <c r="D11" s="18" t="n">
        <v>6025</v>
      </c>
      <c r="E11" s="18" t="n">
        <v>4731</v>
      </c>
      <c r="F11" s="18" t="n">
        <v>7545</v>
      </c>
      <c r="G11" s="18" t="n">
        <v>6177</v>
      </c>
      <c r="H11" s="18" t="n">
        <v>8469</v>
      </c>
      <c r="I11" s="18" t="n">
        <v>8223</v>
      </c>
      <c r="J11" s="18" t="n">
        <v>8563</v>
      </c>
      <c r="K11" s="19" t="s">
        <v>40</v>
      </c>
    </row>
    <row r="12" customFormat="false" ht="15" hidden="false" customHeight="false" outlineLevel="0" collapsed="false">
      <c r="C12" s="17" t="s">
        <v>41</v>
      </c>
      <c r="D12" s="20" t="s">
        <v>42</v>
      </c>
      <c r="E12" s="21" t="n">
        <f aca="false">IF(AND(ISNUMBER(D11),ISNUMBER(E11)),E11/D11-1,"n.a.")</f>
        <v>-0.214771784232365</v>
      </c>
      <c r="F12" s="21" t="n">
        <f aca="false">IF(AND(ISNUMBER(E11),ISNUMBER(F11)),F11/E11-1,"n.a.")</f>
        <v>0.594800253646164</v>
      </c>
      <c r="G12" s="21" t="n">
        <f aca="false">IF(AND(ISNUMBER(F11),ISNUMBER(G11)),G11/F11-1,"n.a.")</f>
        <v>-0.181312127236581</v>
      </c>
      <c r="H12" s="21" t="n">
        <f aca="false">IF(AND(ISNUMBER(G11),ISNUMBER(H11)),H11/G11-1,"n.a.")</f>
        <v>0.371053909664886</v>
      </c>
      <c r="I12" s="21" t="n">
        <f aca="false">IF(AND(ISNUMBER(H11),ISNUMBER(I11)),I11/H11-1,"n.a.")</f>
        <v>-0.0290471130003542</v>
      </c>
      <c r="J12" s="21" t="n">
        <f aca="false">IF(AND(ISNUMBER(I11),ISNUMBER(J11)),J11/I11-1,"n.a.")</f>
        <v>0.0413474401070169</v>
      </c>
    </row>
    <row r="13" customFormat="false" ht="15" hidden="false" customHeight="false" outlineLevel="0" collapsed="false">
      <c r="C13" s="17" t="s">
        <v>43</v>
      </c>
      <c r="D13" s="20" t="s">
        <v>42</v>
      </c>
      <c r="E13" s="22" t="n">
        <v>6.31</v>
      </c>
      <c r="F13" s="22" t="n">
        <v>10.04</v>
      </c>
      <c r="G13" s="22" t="n">
        <v>8.33</v>
      </c>
      <c r="H13" s="22" t="n">
        <v>11.56</v>
      </c>
      <c r="I13" s="22" t="n">
        <v>11.39</v>
      </c>
      <c r="J13" s="22" t="n">
        <v>11.95</v>
      </c>
      <c r="K13" s="19" t="s">
        <v>44</v>
      </c>
    </row>
    <row r="14" customFormat="false" ht="15" hidden="false" customHeight="false" outlineLevel="0" collapsed="false">
      <c r="C14" s="17" t="s">
        <v>41</v>
      </c>
      <c r="D14" s="20" t="s">
        <v>42</v>
      </c>
      <c r="E14" s="21" t="str">
        <f aca="false">IF(AND(ISNUMBER(D13),ISNUMBER(E13)),E13/D13-1,"n.a.")</f>
        <v>n.a.</v>
      </c>
      <c r="F14" s="21" t="n">
        <f aca="false">IF(AND(ISNUMBER(E13),ISNUMBER(F13)),F13/E13-1,"n.a.")</f>
        <v>0.591125198098257</v>
      </c>
      <c r="G14" s="21" t="n">
        <f aca="false">IF(AND(ISNUMBER(F13),ISNUMBER(G13)),G13/F13-1,"n.a.")</f>
        <v>-0.170318725099602</v>
      </c>
      <c r="H14" s="21" t="n">
        <f aca="false">IF(AND(ISNUMBER(G13),ISNUMBER(H13)),H13/G13-1,"n.a.")</f>
        <v>0.387755102040816</v>
      </c>
      <c r="I14" s="21" t="n">
        <f aca="false">IF(AND(ISNUMBER(H13),ISNUMBER(I13)),I13/H13-1,"n.a.")</f>
        <v>-0.0147058823529411</v>
      </c>
      <c r="J14" s="21" t="n">
        <f aca="false">IF(AND(ISNUMBER(I13),ISNUMBER(J13)),J13/I13-1,"n.a.")</f>
        <v>0.0491659350307285</v>
      </c>
    </row>
    <row r="15" customFormat="false" ht="15" hidden="false" customHeight="false" outlineLevel="0" collapsed="false">
      <c r="C15" s="23" t="s">
        <v>45</v>
      </c>
      <c r="D15" s="20" t="s">
        <v>42</v>
      </c>
      <c r="E15" s="20" t="s">
        <v>42</v>
      </c>
      <c r="F15" s="20" t="s">
        <v>42</v>
      </c>
      <c r="G15" s="20" t="s">
        <v>42</v>
      </c>
      <c r="H15" s="20" t="s">
        <v>42</v>
      </c>
      <c r="I15" s="20" t="s">
        <v>42</v>
      </c>
      <c r="J15" s="22" t="n">
        <v>1.77</v>
      </c>
      <c r="K15" s="24" t="s">
        <v>46</v>
      </c>
    </row>
    <row r="16" customFormat="false" ht="15" hidden="false" customHeight="false" outlineLevel="0" collapsed="false">
      <c r="C16" s="23" t="s">
        <v>47</v>
      </c>
      <c r="D16" s="20" t="s">
        <v>42</v>
      </c>
      <c r="E16" s="20" t="s">
        <v>42</v>
      </c>
      <c r="F16" s="20" t="s">
        <v>42</v>
      </c>
      <c r="G16" s="20" t="s">
        <v>42</v>
      </c>
      <c r="H16" s="20" t="s">
        <v>42</v>
      </c>
      <c r="I16" s="20" t="s">
        <v>42</v>
      </c>
      <c r="J16" s="22" t="n">
        <v>1.86</v>
      </c>
      <c r="K16" s="19" t="s">
        <v>48</v>
      </c>
    </row>
    <row r="17" customFormat="false" ht="15" hidden="false" customHeight="false" outlineLevel="0" collapsed="false">
      <c r="C17" s="17" t="s">
        <v>49</v>
      </c>
      <c r="D17" s="22" t="n">
        <v>4.73</v>
      </c>
      <c r="E17" s="22" t="n">
        <v>5.04</v>
      </c>
      <c r="F17" s="22" t="n">
        <v>5.25</v>
      </c>
      <c r="G17" s="22" t="n">
        <v>5.66</v>
      </c>
      <c r="H17" s="22" t="n">
        <v>6.23</v>
      </c>
      <c r="I17" s="22" t="n">
        <v>6.78</v>
      </c>
      <c r="J17" s="25" t="n">
        <f aca="false">3*J15+J16</f>
        <v>7.17</v>
      </c>
      <c r="K17" s="19" t="s">
        <v>50</v>
      </c>
    </row>
    <row r="18" customFormat="false" ht="15" hidden="false" customHeight="false" outlineLevel="0" collapsed="false">
      <c r="C18" s="17" t="s">
        <v>41</v>
      </c>
      <c r="D18" s="20" t="s">
        <v>42</v>
      </c>
      <c r="E18" s="21" t="n">
        <f aca="false">IF(AND(ISNUMBER(D17),ISNUMBER(E17)),E17/D17-1,"n.a.")</f>
        <v>0.0655391120507398</v>
      </c>
      <c r="F18" s="21" t="n">
        <f aca="false">IF(AND(ISNUMBER(E17),ISNUMBER(F17)),F17/E17-1,"n.a.")</f>
        <v>0.0416666666666667</v>
      </c>
      <c r="G18" s="21" t="n">
        <f aca="false">IF(AND(ISNUMBER(F17),ISNUMBER(G17)),G17/F17-1,"n.a.")</f>
        <v>0.0780952380952382</v>
      </c>
      <c r="H18" s="21" t="n">
        <f aca="false">IF(AND(ISNUMBER(G17),ISNUMBER(H17)),H17/G17-1,"n.a.")</f>
        <v>0.100706713780919</v>
      </c>
      <c r="I18" s="21" t="n">
        <f aca="false">IF(AND(ISNUMBER(H17),ISNUMBER(I17)),I17/H17-1,"n.a.")</f>
        <v>0.088282504012841</v>
      </c>
      <c r="J18" s="21" t="n">
        <f aca="false">IF(AND(ISNUMBER(I17),ISNUMBER(J17)),J17/I17-1,"n.a.")</f>
        <v>0.0575221238938053</v>
      </c>
    </row>
    <row r="19" customFormat="false" ht="15" hidden="false" customHeight="false" outlineLevel="0" collapsed="false">
      <c r="C19" s="26" t="s">
        <v>51</v>
      </c>
      <c r="D19" s="27" t="str">
        <f aca="false">IF(AND(ISNUMBER(D17),ISNUMBER(D13)),D17/D13,"n.a.")</f>
        <v>n.a.</v>
      </c>
      <c r="E19" s="27" t="n">
        <f aca="false">IF(AND(ISNUMBER(E17),ISNUMBER(E13)),E17/E13,"n.a.")</f>
        <v>0.798732171156894</v>
      </c>
      <c r="F19" s="27" t="n">
        <f aca="false">IF(AND(ISNUMBER(F17),ISNUMBER(F13)),F17/F13,"n.a.")</f>
        <v>0.522908366533865</v>
      </c>
      <c r="G19" s="27" t="n">
        <f aca="false">IF(AND(ISNUMBER(G17),ISNUMBER(G13)),G17/G13,"n.a.")</f>
        <v>0.679471788715486</v>
      </c>
      <c r="H19" s="27" t="n">
        <f aca="false">IF(AND(ISNUMBER(H17),ISNUMBER(H13)),H17/H13,"n.a.")</f>
        <v>0.538927335640138</v>
      </c>
      <c r="I19" s="27" t="n">
        <f aca="false">IF(AND(ISNUMBER(I17),ISNUMBER(I13)),I17/I13,"n.a.")</f>
        <v>0.595258999122037</v>
      </c>
      <c r="J19" s="27" t="n">
        <f aca="false">IF(AND(ISNUMBER(J17),ISNUMBER(J13)),J17/J13,"n.a.")</f>
        <v>0.6</v>
      </c>
      <c r="K19" s="24" t="s">
        <v>52</v>
      </c>
    </row>
    <row r="21" customFormat="false" ht="15" hidden="false" customHeight="false" outlineLevel="0" collapsed="false">
      <c r="C21" s="15" t="s">
        <v>53</v>
      </c>
    </row>
    <row r="22" customFormat="false" ht="15" hidden="false" customHeight="false" outlineLevel="0" collapsed="false">
      <c r="C22" s="17" t="s">
        <v>54</v>
      </c>
      <c r="D22" s="20" t="s">
        <v>42</v>
      </c>
      <c r="E22" s="20" t="s">
        <v>42</v>
      </c>
      <c r="F22" s="20" t="s">
        <v>42</v>
      </c>
      <c r="G22" s="20" t="s">
        <v>42</v>
      </c>
      <c r="H22" s="20" t="s">
        <v>42</v>
      </c>
      <c r="I22" s="20" t="s">
        <v>42</v>
      </c>
      <c r="J22" s="18" t="n">
        <v>26885</v>
      </c>
      <c r="K22" s="19" t="s">
        <v>55</v>
      </c>
    </row>
    <row r="23" customFormat="false" ht="15" hidden="false" customHeight="false" outlineLevel="0" collapsed="false">
      <c r="C23" s="17" t="s">
        <v>56</v>
      </c>
      <c r="D23" s="20" t="s">
        <v>42</v>
      </c>
      <c r="E23" s="20" t="s">
        <v>42</v>
      </c>
      <c r="F23" s="20" t="s">
        <v>42</v>
      </c>
      <c r="G23" s="20" t="s">
        <v>42</v>
      </c>
      <c r="H23" s="20" t="s">
        <v>42</v>
      </c>
      <c r="I23" s="18" t="n">
        <v>11712</v>
      </c>
      <c r="J23" s="18" t="n">
        <v>12393</v>
      </c>
      <c r="K23" s="19" t="s">
        <v>57</v>
      </c>
    </row>
    <row r="24" customFormat="false" ht="15" hidden="false" customHeight="false" outlineLevel="0" collapsed="false">
      <c r="C24" s="17" t="s">
        <v>41</v>
      </c>
      <c r="D24" s="20" t="s">
        <v>42</v>
      </c>
      <c r="E24" s="21" t="str">
        <f aca="false">IF(AND(ISNUMBER(D23),ISNUMBER(E23)),E23/D23-1,"n.a.")</f>
        <v>n.a.</v>
      </c>
      <c r="F24" s="21" t="str">
        <f aca="false">IF(AND(ISNUMBER(E23),ISNUMBER(F23)),F23/E23-1,"n.a.")</f>
        <v>n.a.</v>
      </c>
      <c r="G24" s="21" t="str">
        <f aca="false">IF(AND(ISNUMBER(F23),ISNUMBER(G23)),G23/F23-1,"n.a.")</f>
        <v>n.a.</v>
      </c>
      <c r="H24" s="21" t="str">
        <f aca="false">IF(AND(ISNUMBER(G23),ISNUMBER(H23)),H23/G23-1,"n.a.")</f>
        <v>n.a.</v>
      </c>
      <c r="I24" s="21" t="str">
        <f aca="false">IF(AND(ISNUMBER(H23),ISNUMBER(I23)),I23/H23-1,"n.a.")</f>
        <v>n.a.</v>
      </c>
      <c r="J24" s="21" t="n">
        <f aca="false">IF(AND(ISNUMBER(I23),ISNUMBER(J23)),J23/I23-1,"n.a.")</f>
        <v>0.0581454918032787</v>
      </c>
    </row>
    <row r="25" customFormat="false" ht="15" hidden="false" customHeight="false" outlineLevel="0" collapsed="false">
      <c r="C25" s="17" t="s">
        <v>58</v>
      </c>
      <c r="D25" s="21" t="str">
        <f aca="false">IF(AND(ISNUMBER(D23),ISNUMBER(D22)),D23/D22,"n.a.")</f>
        <v>n.a.</v>
      </c>
      <c r="E25" s="21" t="str">
        <f aca="false">IF(AND(ISNUMBER(E23),ISNUMBER(E22)),E23/E22,"n.a.")</f>
        <v>n.a.</v>
      </c>
      <c r="F25" s="21" t="str">
        <f aca="false">IF(AND(ISNUMBER(F23),ISNUMBER(F22)),F23/F22,"n.a.")</f>
        <v>n.a.</v>
      </c>
      <c r="G25" s="21" t="str">
        <f aca="false">IF(AND(ISNUMBER(G23),ISNUMBER(G22)),G23/G22,"n.a.")</f>
        <v>n.a.</v>
      </c>
      <c r="H25" s="21" t="str">
        <f aca="false">IF(AND(ISNUMBER(H23),ISNUMBER(H22)),H23/H22,"n.a.")</f>
        <v>n.a.</v>
      </c>
      <c r="I25" s="21" t="str">
        <f aca="false">IF(AND(ISNUMBER(I23),ISNUMBER(I22)),I23/I22,"n.a.")</f>
        <v>n.a.</v>
      </c>
      <c r="J25" s="21" t="n">
        <f aca="false">IF(AND(ISNUMBER(J23),ISNUMBER(J22)),J23/J22,"n.a.")</f>
        <v>0.460963362469779</v>
      </c>
      <c r="K25" s="24" t="s">
        <v>59</v>
      </c>
    </row>
    <row r="26" customFormat="false" ht="15" hidden="false" customHeight="false" outlineLevel="0" collapsed="false">
      <c r="C26" s="17" t="s">
        <v>60</v>
      </c>
      <c r="D26" s="20" t="s">
        <v>42</v>
      </c>
      <c r="E26" s="20" t="s">
        <v>42</v>
      </c>
      <c r="F26" s="20" t="s">
        <v>42</v>
      </c>
      <c r="G26" s="20" t="s">
        <v>42</v>
      </c>
      <c r="H26" s="20" t="s">
        <v>42</v>
      </c>
      <c r="I26" s="18" t="n">
        <v>9447</v>
      </c>
      <c r="J26" s="18" t="n">
        <v>10551</v>
      </c>
      <c r="K26" s="19" t="s">
        <v>61</v>
      </c>
    </row>
    <row r="27" customFormat="false" ht="15" hidden="false" customHeight="false" outlineLevel="0" collapsed="false">
      <c r="C27" s="17" t="s">
        <v>62</v>
      </c>
      <c r="D27" s="20" t="s">
        <v>42</v>
      </c>
      <c r="E27" s="20" t="s">
        <v>42</v>
      </c>
      <c r="F27" s="20" t="s">
        <v>42</v>
      </c>
      <c r="G27" s="20" t="s">
        <v>42</v>
      </c>
      <c r="H27" s="20" t="s">
        <v>42</v>
      </c>
      <c r="I27" s="18" t="n">
        <v>2775</v>
      </c>
      <c r="J27" s="18" t="n">
        <v>3365</v>
      </c>
      <c r="K27" s="19" t="s">
        <v>63</v>
      </c>
    </row>
    <row r="28" customFormat="false" ht="15" hidden="false" customHeight="false" outlineLevel="0" collapsed="false">
      <c r="C28" s="26" t="s">
        <v>64</v>
      </c>
      <c r="D28" s="28" t="str">
        <f aca="false">IF(AND(ISNUMBER(D26),ISNUMBER(D27)),D26-D27,"n.a.")</f>
        <v>n.a.</v>
      </c>
      <c r="E28" s="28" t="str">
        <f aca="false">IF(AND(ISNUMBER(E26),ISNUMBER(E27)),E26-E27,"n.a.")</f>
        <v>n.a.</v>
      </c>
      <c r="F28" s="28" t="str">
        <f aca="false">IF(AND(ISNUMBER(F26),ISNUMBER(F27)),F26-F27,"n.a.")</f>
        <v>n.a.</v>
      </c>
      <c r="G28" s="28" t="str">
        <f aca="false">IF(AND(ISNUMBER(G26),ISNUMBER(G27)),G26-G27,"n.a.")</f>
        <v>n.a.</v>
      </c>
      <c r="H28" s="28" t="str">
        <f aca="false">IF(AND(ISNUMBER(H26),ISNUMBER(H27)),H26-H27,"n.a.")</f>
        <v>n.a.</v>
      </c>
      <c r="I28" s="28" t="n">
        <f aca="false">IF(AND(ISNUMBER(I26),ISNUMBER(I27)),I26-I27,"n.a.")</f>
        <v>6672</v>
      </c>
      <c r="J28" s="28" t="n">
        <f aca="false">IF(AND(ISNUMBER(J26),ISNUMBER(J27)),J26-J27,"n.a.")</f>
        <v>7186</v>
      </c>
    </row>
    <row r="29" customFormat="false" ht="15" hidden="false" customHeight="false" outlineLevel="0" collapsed="false">
      <c r="C29" s="17" t="s">
        <v>65</v>
      </c>
      <c r="D29" s="20" t="s">
        <v>42</v>
      </c>
      <c r="E29" s="20" t="s">
        <v>42</v>
      </c>
      <c r="F29" s="20" t="s">
        <v>42</v>
      </c>
      <c r="G29" s="20" t="s">
        <v>42</v>
      </c>
      <c r="H29" s="20" t="s">
        <v>42</v>
      </c>
      <c r="I29" s="18" t="n">
        <v>6672</v>
      </c>
      <c r="J29" s="18" t="n">
        <v>7186</v>
      </c>
    </row>
    <row r="30" customFormat="false" ht="15" hidden="false" customHeight="false" outlineLevel="0" collapsed="false">
      <c r="C30" s="17" t="s">
        <v>66</v>
      </c>
      <c r="D30" s="29" t="str">
        <f aca="false">IF(AND(ISNUMBER(D28),ISNUMBER(D29)),D28-D29,"n.a.")</f>
        <v>n.a.</v>
      </c>
      <c r="E30" s="29" t="str">
        <f aca="false">IF(AND(ISNUMBER(E28),ISNUMBER(E29)),E28-E29,"n.a.")</f>
        <v>n.a.</v>
      </c>
      <c r="F30" s="29" t="str">
        <f aca="false">IF(AND(ISNUMBER(F28),ISNUMBER(F29)),F28-F29,"n.a.")</f>
        <v>n.a.</v>
      </c>
      <c r="G30" s="29" t="str">
        <f aca="false">IF(AND(ISNUMBER(G28),ISNUMBER(G29)),G28-G29,"n.a.")</f>
        <v>n.a.</v>
      </c>
      <c r="H30" s="29" t="str">
        <f aca="false">IF(AND(ISNUMBER(H28),ISNUMBER(H29)),H28-H29,"n.a.")</f>
        <v>n.a.</v>
      </c>
      <c r="I30" s="29" t="n">
        <f aca="false">IF(AND(ISNUMBER(I28),ISNUMBER(I29)),I28-I29,"n.a.")</f>
        <v>0</v>
      </c>
      <c r="J30" s="29" t="n">
        <f aca="false">IF(AND(ISNUMBER(J28),ISNUMBER(J29)),J28-J29,"n.a.")</f>
        <v>0</v>
      </c>
    </row>
    <row r="31" customFormat="false" ht="15" hidden="false" customHeight="false" outlineLevel="0" collapsed="false">
      <c r="C31" s="17" t="s">
        <v>67</v>
      </c>
      <c r="D31" s="21" t="str">
        <f aca="false">IF(AND(ISNUMBER(D28),ISNUMBER(D11)),D28/D11,"n.a.")</f>
        <v>n.a.</v>
      </c>
      <c r="E31" s="21" t="str">
        <f aca="false">IF(AND(ISNUMBER(E28),ISNUMBER(E11)),E28/E11,"n.a.")</f>
        <v>n.a.</v>
      </c>
      <c r="F31" s="21" t="str">
        <f aca="false">IF(AND(ISNUMBER(F28),ISNUMBER(F11)),F28/F11,"n.a.")</f>
        <v>n.a.</v>
      </c>
      <c r="G31" s="21" t="str">
        <f aca="false">IF(AND(ISNUMBER(G28),ISNUMBER(G11)),G28/G11,"n.a.")</f>
        <v>n.a.</v>
      </c>
      <c r="H31" s="21" t="str">
        <f aca="false">IF(AND(ISNUMBER(H28),ISNUMBER(H11)),H28/H11,"n.a.")</f>
        <v>n.a.</v>
      </c>
      <c r="I31" s="21" t="n">
        <f aca="false">IF(AND(ISNUMBER(I28),ISNUMBER(I11)),I28/I11,"n.a.")</f>
        <v>0.811382707041226</v>
      </c>
      <c r="J31" s="21" t="n">
        <f aca="false">IF(AND(ISNUMBER(J28),ISNUMBER(J11)),J28/J11,"n.a.")</f>
        <v>0.839191872007474</v>
      </c>
      <c r="K31" s="24" t="s">
        <v>68</v>
      </c>
    </row>
    <row r="33" customFormat="false" ht="15" hidden="false" customHeight="false" outlineLevel="0" collapsed="false">
      <c r="C33" s="30" t="s">
        <v>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1.6"/>
    <col collapsed="false" customWidth="true" hidden="false" outlineLevel="0" max="3" min="3" style="0" width="44"/>
    <col collapsed="false" customWidth="true" hidden="false" outlineLevel="0" max="6" min="4" style="0" width="12"/>
    <col collapsed="false" customWidth="true" hidden="false" outlineLevel="0" max="7" min="7" style="0" width="80"/>
  </cols>
  <sheetData>
    <row r="2" customFormat="false" ht="17.35" hidden="false" customHeight="false" outlineLevel="0" collapsed="false">
      <c r="B2" s="1" t="s">
        <v>0</v>
      </c>
    </row>
    <row r="3" customFormat="false" ht="16.4" hidden="false" customHeight="false" outlineLevel="0" collapsed="false">
      <c r="B3" s="14" t="s">
        <v>70</v>
      </c>
    </row>
    <row r="4" customFormat="false" ht="15" hidden="false" customHeight="false" outlineLevel="0" collapsed="false">
      <c r="B4" s="3" t="s">
        <v>71</v>
      </c>
    </row>
    <row r="5" customFormat="false" ht="15" hidden="false" customHeight="false" outlineLevel="0" collapsed="false">
      <c r="B5" s="4" t="s">
        <v>72</v>
      </c>
    </row>
    <row r="7" customFormat="false" ht="15" hidden="false" customHeight="false" outlineLevel="0" collapsed="false">
      <c r="C7" s="31" t="s">
        <v>73</v>
      </c>
      <c r="D7" s="5"/>
      <c r="E7" s="5"/>
      <c r="F7" s="5"/>
      <c r="G7" s="5"/>
    </row>
    <row r="9" customFormat="false" ht="15" hidden="false" customHeight="false" outlineLevel="0" collapsed="false">
      <c r="C9" s="15" t="s">
        <v>29</v>
      </c>
      <c r="D9" s="16" t="s">
        <v>74</v>
      </c>
      <c r="E9" s="16" t="s">
        <v>75</v>
      </c>
      <c r="F9" s="16" t="s">
        <v>76</v>
      </c>
      <c r="G9" s="15" t="s">
        <v>37</v>
      </c>
    </row>
    <row r="10" customFormat="false" ht="15" hidden="false" customHeight="false" outlineLevel="0" collapsed="false">
      <c r="C10" s="15" t="s">
        <v>77</v>
      </c>
    </row>
    <row r="11" customFormat="false" ht="15" hidden="false" customHeight="false" outlineLevel="0" collapsed="false">
      <c r="C11" s="17" t="s">
        <v>78</v>
      </c>
      <c r="D11" s="18" t="n">
        <v>9840</v>
      </c>
      <c r="E11" s="18" t="n">
        <v>10017</v>
      </c>
      <c r="F11" s="20" t="s">
        <v>42</v>
      </c>
      <c r="G11" s="19" t="s">
        <v>79</v>
      </c>
    </row>
    <row r="12" customFormat="false" ht="15" hidden="false" customHeight="false" outlineLevel="0" collapsed="false">
      <c r="C12" s="17" t="s">
        <v>80</v>
      </c>
      <c r="D12" s="18" t="n">
        <v>5531</v>
      </c>
      <c r="E12" s="18" t="n">
        <v>5606</v>
      </c>
      <c r="F12" s="20" t="s">
        <v>42</v>
      </c>
    </row>
    <row r="13" customFormat="false" ht="15" hidden="false" customHeight="false" outlineLevel="0" collapsed="false">
      <c r="C13" s="17" t="s">
        <v>81</v>
      </c>
      <c r="D13" s="18" t="n">
        <v>66</v>
      </c>
      <c r="E13" s="18" t="n">
        <v>92</v>
      </c>
      <c r="F13" s="20" t="s">
        <v>42</v>
      </c>
    </row>
    <row r="14" customFormat="false" ht="15" hidden="false" customHeight="false" outlineLevel="0" collapsed="false">
      <c r="C14" s="26" t="s">
        <v>82</v>
      </c>
      <c r="D14" s="28" t="n">
        <f aca="false">SUM(D11:D13)</f>
        <v>15437</v>
      </c>
      <c r="E14" s="28" t="n">
        <f aca="false">SUM(E11:E13)</f>
        <v>15715</v>
      </c>
      <c r="F14" s="32" t="n">
        <v>16548</v>
      </c>
      <c r="G14" s="19" t="s">
        <v>83</v>
      </c>
    </row>
    <row r="15" customFormat="false" ht="15" hidden="false" customHeight="false" outlineLevel="0" collapsed="false">
      <c r="C15" s="17" t="s">
        <v>84</v>
      </c>
      <c r="D15" s="21" t="n">
        <f aca="false">D11/D14</f>
        <v>0.637429552374166</v>
      </c>
      <c r="E15" s="21" t="n">
        <f aca="false">E11/E14</f>
        <v>0.637416481069042</v>
      </c>
      <c r="F15" s="20" t="s">
        <v>42</v>
      </c>
    </row>
    <row r="16" customFormat="false" ht="15" hidden="false" customHeight="false" outlineLevel="0" collapsed="false">
      <c r="C16" s="17" t="s">
        <v>85</v>
      </c>
      <c r="D16" s="18" t="n">
        <v>9742</v>
      </c>
      <c r="E16" s="18" t="n">
        <v>9782</v>
      </c>
      <c r="F16" s="18" t="n">
        <v>9690</v>
      </c>
      <c r="G16" s="19" t="s">
        <v>86</v>
      </c>
    </row>
    <row r="17" customFormat="false" ht="15" hidden="false" customHeight="false" outlineLevel="0" collapsed="false">
      <c r="C17" s="17" t="s">
        <v>87</v>
      </c>
      <c r="D17" s="20" t="s">
        <v>42</v>
      </c>
      <c r="E17" s="20" t="s">
        <v>42</v>
      </c>
      <c r="F17" s="18" t="n">
        <v>647</v>
      </c>
    </row>
    <row r="18" customFormat="false" ht="15" hidden="false" customHeight="false" outlineLevel="0" collapsed="false">
      <c r="C18" s="33" t="s">
        <v>88</v>
      </c>
      <c r="D18" s="20" t="s">
        <v>42</v>
      </c>
      <c r="E18" s="20" t="s">
        <v>42</v>
      </c>
      <c r="F18" s="34" t="n">
        <f aca="false">F14+F16+F17</f>
        <v>26885</v>
      </c>
      <c r="G18" s="19" t="s">
        <v>89</v>
      </c>
    </row>
    <row r="19" customFormat="false" ht="15" hidden="false" customHeight="false" outlineLevel="0" collapsed="false">
      <c r="C19" s="17" t="s">
        <v>90</v>
      </c>
      <c r="D19" s="20" t="s">
        <v>42</v>
      </c>
      <c r="E19" s="20" t="s">
        <v>42</v>
      </c>
      <c r="F19" s="21" t="n">
        <f aca="false">F14/F18</f>
        <v>0.615510507718058</v>
      </c>
    </row>
    <row r="20" customFormat="false" ht="15" hidden="false" customHeight="false" outlineLevel="0" collapsed="false">
      <c r="C20" s="17" t="s">
        <v>91</v>
      </c>
      <c r="D20" s="20" t="s">
        <v>42</v>
      </c>
      <c r="E20" s="20" t="s">
        <v>42</v>
      </c>
      <c r="F20" s="21" t="n">
        <f aca="false">F16/F18</f>
        <v>0.360424028268551</v>
      </c>
    </row>
    <row r="22" customFormat="false" ht="15" hidden="false" customHeight="false" outlineLevel="0" collapsed="false">
      <c r="C22" s="31" t="s">
        <v>92</v>
      </c>
      <c r="D22" s="5"/>
      <c r="E22" s="5"/>
      <c r="F22" s="5"/>
      <c r="G22" s="5"/>
    </row>
    <row r="24" customFormat="false" ht="15" hidden="false" customHeight="false" outlineLevel="0" collapsed="false">
      <c r="C24" s="15" t="s">
        <v>29</v>
      </c>
      <c r="D24" s="16"/>
      <c r="E24" s="16"/>
      <c r="F24" s="16" t="s">
        <v>76</v>
      </c>
      <c r="G24" s="15" t="s">
        <v>37</v>
      </c>
    </row>
    <row r="25" customFormat="false" ht="15" hidden="false" customHeight="false" outlineLevel="0" collapsed="false">
      <c r="C25" s="17" t="s">
        <v>93</v>
      </c>
      <c r="F25" s="18" t="n">
        <v>13930</v>
      </c>
      <c r="G25" s="30" t="s">
        <v>94</v>
      </c>
    </row>
    <row r="26" customFormat="false" ht="15" hidden="false" customHeight="false" outlineLevel="0" collapsed="false">
      <c r="C26" s="17" t="s">
        <v>95</v>
      </c>
      <c r="F26" s="18" t="n">
        <v>1422</v>
      </c>
      <c r="G26" s="30" t="s">
        <v>96</v>
      </c>
    </row>
    <row r="27" customFormat="false" ht="15" hidden="false" customHeight="false" outlineLevel="0" collapsed="false">
      <c r="C27" s="26" t="s">
        <v>97</v>
      </c>
      <c r="F27" s="28" t="n">
        <f aca="false">F25+F26</f>
        <v>15352</v>
      </c>
    </row>
    <row r="28" customFormat="false" ht="15" hidden="false" customHeight="false" outlineLevel="0" collapsed="false">
      <c r="C28" s="23" t="s">
        <v>98</v>
      </c>
      <c r="F28" s="18" t="n">
        <v>15351</v>
      </c>
    </row>
    <row r="29" customFormat="false" ht="15" hidden="false" customHeight="false" outlineLevel="0" collapsed="false">
      <c r="C29" s="17" t="s">
        <v>99</v>
      </c>
      <c r="F29" s="29" t="n">
        <f aca="false">F27-F28</f>
        <v>1</v>
      </c>
      <c r="G29" s="24" t="s">
        <v>100</v>
      </c>
    </row>
    <row r="30" customFormat="false" ht="15" hidden="false" customHeight="false" outlineLevel="0" collapsed="false">
      <c r="C30" s="17" t="s">
        <v>101</v>
      </c>
      <c r="F30" s="21" t="n">
        <f aca="false">F25/F14</f>
        <v>0.841793570219966</v>
      </c>
    </row>
    <row r="31" customFormat="false" ht="15" hidden="false" customHeight="false" outlineLevel="0" collapsed="false">
      <c r="C31" s="17" t="s">
        <v>102</v>
      </c>
      <c r="F31" s="21" t="n">
        <f aca="false">F26/F16</f>
        <v>0.146749226006192</v>
      </c>
    </row>
    <row r="32" customFormat="false" ht="15" hidden="false" customHeight="false" outlineLevel="0" collapsed="false">
      <c r="C32" s="17" t="s">
        <v>103</v>
      </c>
      <c r="F32" s="21" t="n">
        <f aca="false">F25/F27</f>
        <v>0.907373632100052</v>
      </c>
      <c r="G32" s="19" t="s">
        <v>104</v>
      </c>
    </row>
    <row r="34" customFormat="false" ht="15" hidden="false" customHeight="false" outlineLevel="0" collapsed="false">
      <c r="C34" s="31" t="s">
        <v>105</v>
      </c>
      <c r="D34" s="5"/>
      <c r="E34" s="5"/>
      <c r="F34" s="5"/>
      <c r="G34" s="5"/>
    </row>
    <row r="36" customFormat="false" ht="15" hidden="false" customHeight="false" outlineLevel="0" collapsed="false">
      <c r="C36" s="15" t="s">
        <v>29</v>
      </c>
      <c r="D36" s="16"/>
      <c r="E36" s="16"/>
      <c r="F36" s="16" t="s">
        <v>76</v>
      </c>
      <c r="G36" s="15" t="s">
        <v>37</v>
      </c>
    </row>
    <row r="37" customFormat="false" ht="15" hidden="false" customHeight="false" outlineLevel="0" collapsed="false">
      <c r="C37" s="17" t="s">
        <v>106</v>
      </c>
      <c r="F37" s="18" t="n">
        <v>139400</v>
      </c>
      <c r="G37" s="19" t="s">
        <v>107</v>
      </c>
    </row>
    <row r="38" customFormat="false" ht="15" hidden="false" customHeight="false" outlineLevel="0" collapsed="false">
      <c r="C38" s="17" t="s">
        <v>108</v>
      </c>
      <c r="F38" s="29" t="n">
        <f aca="false">F37-F16</f>
        <v>129710</v>
      </c>
      <c r="G38" s="24" t="s">
        <v>109</v>
      </c>
    </row>
    <row r="39" customFormat="false" ht="15" hidden="false" customHeight="false" outlineLevel="0" collapsed="false">
      <c r="C39" s="17" t="s">
        <v>110</v>
      </c>
      <c r="F39" s="21" t="n">
        <f aca="false">F14/F38</f>
        <v>0.127576902320561</v>
      </c>
      <c r="G39" s="24" t="s">
        <v>111</v>
      </c>
    </row>
    <row r="40" customFormat="false" ht="15" hidden="false" customHeight="false" outlineLevel="0" collapsed="false">
      <c r="C40" s="17" t="s">
        <v>112</v>
      </c>
      <c r="F40" s="18" t="n">
        <v>43320</v>
      </c>
      <c r="G40" s="35" t="s">
        <v>113</v>
      </c>
    </row>
    <row r="41" customFormat="false" ht="15" hidden="false" customHeight="false" outlineLevel="0" collapsed="false">
      <c r="C41" s="17" t="s">
        <v>114</v>
      </c>
      <c r="F41" s="18" t="n">
        <v>2040</v>
      </c>
      <c r="G41" s="30" t="s">
        <v>115</v>
      </c>
    </row>
    <row r="42" customFormat="false" ht="15" hidden="false" customHeight="false" outlineLevel="0" collapsed="false">
      <c r="C42" s="36" t="s">
        <v>116</v>
      </c>
      <c r="F42" s="37" t="n">
        <f aca="false">F40+F41</f>
        <v>45360</v>
      </c>
    </row>
    <row r="43" customFormat="false" ht="15" hidden="false" customHeight="false" outlineLevel="0" collapsed="false">
      <c r="C43" s="17" t="s">
        <v>117</v>
      </c>
      <c r="F43" s="18" t="n">
        <v>45356</v>
      </c>
    </row>
    <row r="44" customFormat="false" ht="15" hidden="false" customHeight="false" outlineLevel="0" collapsed="false">
      <c r="C44" s="17" t="s">
        <v>118</v>
      </c>
      <c r="F44" s="38" t="n">
        <f aca="false">F42-F43</f>
        <v>4</v>
      </c>
      <c r="G44" s="24" t="s">
        <v>119</v>
      </c>
    </row>
    <row r="46" customFormat="false" ht="15" hidden="false" customHeight="false" outlineLevel="0" collapsed="false">
      <c r="C46" s="15" t="s">
        <v>120</v>
      </c>
    </row>
    <row r="47" customFormat="false" ht="15" hidden="false" customHeight="false" outlineLevel="0" collapsed="false">
      <c r="C47" s="17" t="s">
        <v>121</v>
      </c>
      <c r="F47" s="29" t="n">
        <f aca="false">F38*1000/F40</f>
        <v>2994.22899353647</v>
      </c>
      <c r="G47" s="24" t="s">
        <v>122</v>
      </c>
    </row>
    <row r="48" customFormat="false" ht="15" hidden="false" customHeight="false" outlineLevel="0" collapsed="false">
      <c r="C48" s="17" t="s">
        <v>123</v>
      </c>
      <c r="F48" s="29" t="n">
        <f aca="false">F14*1000/F40</f>
        <v>381.994459833795</v>
      </c>
    </row>
    <row r="49" customFormat="false" ht="15" hidden="false" customHeight="false" outlineLevel="0" collapsed="false">
      <c r="C49" s="17" t="s">
        <v>124</v>
      </c>
      <c r="F49" s="29" t="n">
        <f aca="false">F25*1000/F40</f>
        <v>321.560480147738</v>
      </c>
    </row>
    <row r="50" customFormat="false" ht="15" hidden="false" customHeight="false" outlineLevel="0" collapsed="false">
      <c r="C50" s="17" t="s">
        <v>125</v>
      </c>
      <c r="F50" s="29" t="n">
        <f aca="false">F16*1000/F41</f>
        <v>4750</v>
      </c>
    </row>
    <row r="51" customFormat="false" ht="15" hidden="false" customHeight="false" outlineLevel="0" collapsed="false">
      <c r="C51" s="17" t="s">
        <v>126</v>
      </c>
      <c r="F51" s="29" t="n">
        <f aca="false">F26*1000/F41</f>
        <v>697.058823529412</v>
      </c>
    </row>
    <row r="52" customFormat="false" ht="15" hidden="false" customHeight="false" outlineLevel="0" collapsed="false">
      <c r="C52" s="17" t="s">
        <v>127</v>
      </c>
      <c r="F52" s="39" t="n">
        <f aca="false">F51/F49</f>
        <v>2.16773784890841</v>
      </c>
    </row>
    <row r="54" customFormat="false" ht="15" hidden="false" customHeight="false" outlineLevel="0" collapsed="false">
      <c r="C54" s="30" t="s">
        <v>128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9" topLeftCell="D10" activePane="bottomRight" state="frozen"/>
      <selection pane="topLeft" activeCell="A1" activeCellId="0" sqref="A1"/>
      <selection pane="topRight" activeCell="D1" activeCellId="0" sqref="D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1.6"/>
    <col collapsed="false" customWidth="true" hidden="false" outlineLevel="0" max="3" min="3" style="0" width="42"/>
    <col collapsed="false" customWidth="true" hidden="false" outlineLevel="0" max="5" min="4" style="0" width="12"/>
    <col collapsed="false" customWidth="true" hidden="false" outlineLevel="0" max="6" min="6" style="0" width="8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14" t="s">
        <v>129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130</v>
      </c>
    </row>
    <row r="7" customFormat="false" ht="15" hidden="false" customHeight="false" outlineLevel="0" collapsed="false">
      <c r="C7" s="5" t="s">
        <v>129</v>
      </c>
      <c r="D7" s="5"/>
      <c r="E7" s="5"/>
      <c r="F7" s="5"/>
    </row>
    <row r="9" customFormat="false" ht="15" hidden="false" customHeight="false" outlineLevel="0" collapsed="false">
      <c r="C9" s="15" t="s">
        <v>29</v>
      </c>
      <c r="D9" s="16" t="s">
        <v>75</v>
      </c>
      <c r="E9" s="16" t="s">
        <v>76</v>
      </c>
      <c r="F9" s="15" t="s">
        <v>37</v>
      </c>
    </row>
    <row r="10" customFormat="false" ht="15" hidden="false" customHeight="false" outlineLevel="0" collapsed="false">
      <c r="C10" s="17" t="s">
        <v>131</v>
      </c>
      <c r="D10" s="40" t="n">
        <f aca="false">Financials!I11</f>
        <v>8223</v>
      </c>
      <c r="E10" s="40" t="n">
        <f aca="false">Financials!J11</f>
        <v>8563</v>
      </c>
    </row>
    <row r="11" customFormat="false" ht="15" hidden="false" customHeight="false" outlineLevel="0" collapsed="false">
      <c r="C11" s="17" t="s">
        <v>132</v>
      </c>
      <c r="D11" s="40" t="n">
        <f aca="false">Financials!I28</f>
        <v>6672</v>
      </c>
      <c r="E11" s="40" t="n">
        <f aca="false">Financials!J28</f>
        <v>7186</v>
      </c>
    </row>
    <row r="12" customFormat="false" ht="15" hidden="false" customHeight="false" outlineLevel="0" collapsed="false">
      <c r="C12" s="17" t="s">
        <v>133</v>
      </c>
      <c r="D12" s="20" t="s">
        <v>42</v>
      </c>
      <c r="E12" s="18" t="n">
        <v>5115</v>
      </c>
      <c r="F12" s="19" t="s">
        <v>134</v>
      </c>
    </row>
    <row r="13" customFormat="false" ht="15" hidden="false" customHeight="false" outlineLevel="0" collapsed="false">
      <c r="C13" s="17" t="s">
        <v>135</v>
      </c>
      <c r="D13" s="20" t="s">
        <v>42</v>
      </c>
      <c r="E13" s="18" t="n">
        <v>2016</v>
      </c>
      <c r="F13" s="19" t="s">
        <v>136</v>
      </c>
    </row>
    <row r="14" customFormat="false" ht="15" hidden="false" customHeight="false" outlineLevel="0" collapsed="false">
      <c r="C14" s="26" t="s">
        <v>137</v>
      </c>
      <c r="D14" s="32" t="n">
        <v>7700</v>
      </c>
      <c r="E14" s="28" t="n">
        <f aca="false">E12+E13</f>
        <v>7131</v>
      </c>
      <c r="F14" s="19" t="s">
        <v>138</v>
      </c>
    </row>
    <row r="15" customFormat="false" ht="15" hidden="false" customHeight="false" outlineLevel="0" collapsed="false">
      <c r="C15" s="17" t="s">
        <v>139</v>
      </c>
      <c r="D15" s="21" t="n">
        <f aca="false">D14/D11</f>
        <v>1.15407673860911</v>
      </c>
      <c r="E15" s="21" t="n">
        <f aca="false">E14/E11</f>
        <v>0.99234622877818</v>
      </c>
      <c r="F15" s="24" t="s">
        <v>140</v>
      </c>
    </row>
    <row r="16" customFormat="false" ht="15" hidden="false" customHeight="false" outlineLevel="0" collapsed="false">
      <c r="C16" s="17" t="s">
        <v>141</v>
      </c>
      <c r="D16" s="20" t="s">
        <v>42</v>
      </c>
      <c r="E16" s="21" t="n">
        <f aca="false">E12/E11</f>
        <v>0.711800723629279</v>
      </c>
    </row>
    <row r="17" customFormat="false" ht="15" hidden="false" customHeight="false" outlineLevel="0" collapsed="false">
      <c r="C17" s="17" t="s">
        <v>142</v>
      </c>
      <c r="D17" s="20" t="s">
        <v>42</v>
      </c>
      <c r="E17" s="21" t="n">
        <f aca="false">E12/E10</f>
        <v>0.597337381758729</v>
      </c>
      <c r="F17" s="24" t="s">
        <v>143</v>
      </c>
    </row>
    <row r="18" customFormat="false" ht="15" hidden="false" customHeight="false" outlineLevel="0" collapsed="false">
      <c r="C18" s="17" t="s">
        <v>144</v>
      </c>
      <c r="D18" s="20" t="s">
        <v>42</v>
      </c>
      <c r="E18" s="21" t="n">
        <f aca="false">E13/E11</f>
        <v>0.280545505148901</v>
      </c>
    </row>
    <row r="20" customFormat="false" ht="15" hidden="false" customHeight="false" outlineLevel="0" collapsed="false">
      <c r="C20" s="17" t="s">
        <v>145</v>
      </c>
      <c r="D20" s="18" t="n">
        <v>38424</v>
      </c>
      <c r="E20" s="18" t="n">
        <v>39973</v>
      </c>
      <c r="F20" s="19" t="s">
        <v>146</v>
      </c>
    </row>
    <row r="21" customFormat="false" ht="15" hidden="false" customHeight="false" outlineLevel="0" collapsed="false">
      <c r="C21" s="17" t="s">
        <v>147</v>
      </c>
      <c r="D21" s="20" t="s">
        <v>42</v>
      </c>
      <c r="E21" s="29" t="n">
        <f aca="false">E20-D20</f>
        <v>1549</v>
      </c>
    </row>
    <row r="22" customFormat="false" ht="15" hidden="false" customHeight="false" outlineLevel="0" collapsed="false">
      <c r="C22" s="26" t="s">
        <v>148</v>
      </c>
      <c r="D22" s="28" t="n">
        <f aca="false">D11-D14</f>
        <v>-1028</v>
      </c>
      <c r="E22" s="28" t="n">
        <f aca="false">E11-E14</f>
        <v>55</v>
      </c>
      <c r="F22" s="35" t="s">
        <v>149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.3"/>
    <col collapsed="false" customWidth="true" hidden="false" outlineLevel="0" max="2" min="2" style="0" width="1.6"/>
    <col collapsed="false" customWidth="true" hidden="false" outlineLevel="0" max="3" min="3" style="0" width="34"/>
    <col collapsed="false" customWidth="true" hidden="false" outlineLevel="0" max="4" min="4" style="0" width="22"/>
    <col collapsed="false" customWidth="true" hidden="false" outlineLevel="0" max="5" min="5" style="0" width="70"/>
    <col collapsed="false" customWidth="true" hidden="false" outlineLevel="0" max="6" min="6" style="0" width="60"/>
  </cols>
  <sheetData>
    <row r="2" customFormat="false" ht="17.35" hidden="false" customHeight="false" outlineLevel="0" collapsed="false">
      <c r="B2" s="1" t="s">
        <v>0</v>
      </c>
    </row>
    <row r="3" customFormat="false" ht="15" hidden="false" customHeight="false" outlineLevel="0" collapsed="false">
      <c r="B3" s="14" t="s">
        <v>150</v>
      </c>
    </row>
    <row r="4" customFormat="false" ht="15" hidden="false" customHeight="false" outlineLevel="0" collapsed="false">
      <c r="B4" s="3" t="s">
        <v>151</v>
      </c>
    </row>
    <row r="5" customFormat="false" ht="15" hidden="false" customHeight="false" outlineLevel="0" collapsed="false">
      <c r="B5" s="4" t="s">
        <v>152</v>
      </c>
    </row>
    <row r="7" customFormat="false" ht="15" hidden="false" customHeight="false" outlineLevel="0" collapsed="false">
      <c r="C7" s="5" t="s">
        <v>153</v>
      </c>
      <c r="D7" s="5"/>
      <c r="E7" s="5"/>
      <c r="F7" s="5"/>
    </row>
    <row r="9" customFormat="false" ht="15" hidden="false" customHeight="false" outlineLevel="0" collapsed="false">
      <c r="C9" s="15" t="s">
        <v>154</v>
      </c>
      <c r="D9" s="15" t="s">
        <v>155</v>
      </c>
      <c r="E9" s="15" t="s">
        <v>156</v>
      </c>
      <c r="F9" s="15" t="s">
        <v>157</v>
      </c>
    </row>
    <row r="10" customFormat="false" ht="25.35" hidden="false" customHeight="false" outlineLevel="0" collapsed="false">
      <c r="C10" s="41" t="s">
        <v>158</v>
      </c>
      <c r="D10" s="42" t="s">
        <v>159</v>
      </c>
      <c r="E10" s="43" t="s">
        <v>160</v>
      </c>
      <c r="F10" s="42"/>
    </row>
    <row r="11" customFormat="false" ht="15" hidden="false" customHeight="false" outlineLevel="0" collapsed="false">
      <c r="C11" s="41" t="s">
        <v>161</v>
      </c>
      <c r="D11" s="41" t="s">
        <v>162</v>
      </c>
      <c r="E11" s="43" t="s">
        <v>163</v>
      </c>
      <c r="F11" s="42" t="s">
        <v>164</v>
      </c>
    </row>
    <row r="12" customFormat="false" ht="15" hidden="false" customHeight="false" outlineLevel="0" collapsed="false">
      <c r="C12" s="41" t="s">
        <v>165</v>
      </c>
      <c r="D12" s="41" t="s">
        <v>162</v>
      </c>
      <c r="E12" s="43" t="s">
        <v>166</v>
      </c>
      <c r="F12" s="42"/>
    </row>
    <row r="13" customFormat="false" ht="25.35" hidden="false" customHeight="false" outlineLevel="0" collapsed="false">
      <c r="C13" s="41" t="s">
        <v>167</v>
      </c>
      <c r="D13" s="42" t="s">
        <v>159</v>
      </c>
      <c r="E13" s="43" t="s">
        <v>168</v>
      </c>
      <c r="F13" s="42"/>
    </row>
    <row r="14" customFormat="false" ht="15" hidden="false" customHeight="false" outlineLevel="0" collapsed="false">
      <c r="C14" s="41" t="s">
        <v>169</v>
      </c>
      <c r="D14" s="41" t="s">
        <v>162</v>
      </c>
      <c r="E14" s="43" t="s">
        <v>170</v>
      </c>
      <c r="F14" s="42"/>
    </row>
    <row r="15" customFormat="false" ht="15" hidden="false" customHeight="false" outlineLevel="0" collapsed="false">
      <c r="C15" s="41" t="s">
        <v>171</v>
      </c>
      <c r="D15" s="44" t="s">
        <v>172</v>
      </c>
      <c r="E15" s="43" t="s">
        <v>173</v>
      </c>
      <c r="F15" s="42" t="s">
        <v>174</v>
      </c>
    </row>
    <row r="16" customFormat="false" ht="15" hidden="false" customHeight="false" outlineLevel="0" collapsed="false">
      <c r="C16" s="41" t="s">
        <v>175</v>
      </c>
      <c r="D16" s="41" t="s">
        <v>176</v>
      </c>
      <c r="E16" s="43" t="s">
        <v>177</v>
      </c>
      <c r="F16" s="41" t="s">
        <v>178</v>
      </c>
    </row>
    <row r="17" customFormat="false" ht="15" hidden="false" customHeight="false" outlineLevel="0" collapsed="false">
      <c r="C17" s="41" t="s">
        <v>179</v>
      </c>
      <c r="D17" s="44" t="s">
        <v>172</v>
      </c>
      <c r="E17" s="43" t="s">
        <v>180</v>
      </c>
      <c r="F17" s="42"/>
    </row>
    <row r="18" customFormat="false" ht="15" hidden="false" customHeight="false" outlineLevel="0" collapsed="false">
      <c r="C18" s="41" t="s">
        <v>181</v>
      </c>
      <c r="D18" s="44" t="s">
        <v>172</v>
      </c>
      <c r="E18" s="43" t="s">
        <v>180</v>
      </c>
      <c r="F18" s="42"/>
    </row>
    <row r="19" customFormat="false" ht="15" hidden="false" customHeight="false" outlineLevel="0" collapsed="false">
      <c r="C19" s="42" t="s">
        <v>182</v>
      </c>
      <c r="D19" s="44" t="s">
        <v>172</v>
      </c>
      <c r="E19" s="43" t="s">
        <v>183</v>
      </c>
      <c r="F19" s="42" t="s">
        <v>184</v>
      </c>
    </row>
    <row r="21" customFormat="false" ht="15" hidden="false" customHeight="false" outlineLevel="0" collapsed="false">
      <c r="C21" s="5" t="s">
        <v>185</v>
      </c>
      <c r="D21" s="5"/>
      <c r="E21" s="5"/>
      <c r="F21" s="5"/>
    </row>
    <row r="22" customFormat="false" ht="15" hidden="false" customHeight="false" outlineLevel="0" collapsed="false">
      <c r="C22" s="45" t="s">
        <v>186</v>
      </c>
    </row>
    <row r="23" customFormat="false" ht="15" hidden="false" customHeight="false" outlineLevel="0" collapsed="false">
      <c r="C23" s="45" t="s">
        <v>187</v>
      </c>
    </row>
    <row r="24" customFormat="false" ht="15" hidden="false" customHeight="false" outlineLevel="0" collapsed="false">
      <c r="C24" s="9" t="s">
        <v>188</v>
      </c>
    </row>
    <row r="25" customFormat="false" ht="15" hidden="false" customHeight="false" outlineLevel="0" collapsed="false">
      <c r="C25" s="9" t="s">
        <v>189</v>
      </c>
    </row>
    <row r="26" customFormat="false" ht="15" hidden="false" customHeight="false" outlineLevel="0" collapsed="false">
      <c r="C26" s="9" t="s">
        <v>190</v>
      </c>
    </row>
    <row r="27" customFormat="false" ht="15" hidden="false" customHeight="false" outlineLevel="0" collapsed="false">
      <c r="C27" s="9" t="s">
        <v>191</v>
      </c>
    </row>
  </sheetData>
  <hyperlinks>
    <hyperlink ref="E10" r:id="rId1" display="https://mcdonalds.mediaroom.com/2026-02-11-McDONALDS-REPORTS-FOURTH-QUARTER-AND-FULL-YEAR-2025-RESULTS"/>
    <hyperlink ref="E11" r:id="rId2" display="https://companiesmarketcap.com/mcdonald/sec-reports-10k/0000063908-26-000035/"/>
    <hyperlink ref="E12" r:id="rId3" display="https://www.sec.gov/Archives/edgar/data/63908/000006390826000035/mcd-20251231.htm"/>
    <hyperlink ref="E13" r:id="rId4" display="https://www.nasdaq.com/press-release/mcdonalds-reports-fourth-quarter-and-full-year-2025-results-2026-02-11"/>
    <hyperlink ref="E14" r:id="rId5" display="https://www.sec.gov/Archives/edgar/data/63908/000006390825000012/mcd-20241231.htm"/>
    <hyperlink ref="E15" r:id="rId6" display="https://fourweekmba.com/mcdonalds-margins/"/>
    <hyperlink ref="E16" r:id="rId7" display="https://www.macrotrends.net/stocks/charts/MCD/mcdonalds/net-income"/>
    <hyperlink ref="E17" r:id="rId8" display="https://www.marketscreener.com/quote/stock/MCDONALD-S-CORPORATION-4833/valuation-dividend/"/>
    <hyperlink ref="E18" r:id="rId9" display="https://www.marketscreener.com/quote/stock/MCDONALD-S-CORPORATION-4833/valuation-dividend/"/>
    <hyperlink ref="E19" r:id="rId10" display="https://koalagains.com/stocks/NYSE/MCD/business-and-moa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2026-10-14T06:14:46Z</dcterms:created>
  <dc:creator>openpyxl</dc:creator>
  <dc:description/>
  <dc:language>en-US</dc:language>
  <cp:lastModifiedBy/>
  <dcterms:modified xsi:type="dcterms:W3CDTF">2026-10-14T06:14:46Z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